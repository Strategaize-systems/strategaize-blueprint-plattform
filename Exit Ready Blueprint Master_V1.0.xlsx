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Geteilte Ablagen\StrategAIze\Operations\Produkte\Exit-Ready\"/>
    </mc:Choice>
  </mc:AlternateContent>
  <xr:revisionPtr revIDLastSave="0" documentId="13_ncr:1_{C9179FFD-21EE-4536-BA26-250AEBB15819}" xr6:coauthVersionLast="47" xr6:coauthVersionMax="47" xr10:uidLastSave="{00000000-0000-0000-0000-000000000000}"/>
  <bookViews>
    <workbookView xWindow="-120" yWindow="-120" windowWidth="29040" windowHeight="15720" tabRatio="904" xr2:uid="{00000000-000D-0000-FFFF-FFFF00000000}"/>
  </bookViews>
  <sheets>
    <sheet name="Fragen Komplett" sheetId="29" r:id="rId1"/>
    <sheet name="KO Liste" sheetId="34" r:id="rId2"/>
    <sheet name="Block Gewichte" sheetId="35" r:id="rId3"/>
    <sheet name="Scoring" sheetId="32" r:id="rId4"/>
    <sheet name="Scorecard" sheetId="3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2" l="1"/>
  <c r="D11" i="32"/>
  <c r="E11" i="32"/>
  <c r="F11" i="32"/>
  <c r="G11" i="32"/>
  <c r="H11" i="32"/>
  <c r="J11" i="32"/>
  <c r="K11" i="32"/>
  <c r="L11" i="32" s="1"/>
  <c r="C12" i="32"/>
  <c r="H12" i="32" s="1"/>
  <c r="K12" i="32" s="1"/>
  <c r="L12" i="32" s="1"/>
  <c r="D12" i="32"/>
  <c r="E12" i="32"/>
  <c r="F12" i="32"/>
  <c r="G12" i="32"/>
  <c r="J12" i="32"/>
  <c r="C13" i="32"/>
  <c r="H13" i="32" s="1"/>
  <c r="K13" i="32" s="1"/>
  <c r="L13" i="32" s="1"/>
  <c r="D13" i="32"/>
  <c r="E13" i="32"/>
  <c r="F13" i="32"/>
  <c r="G13" i="32"/>
  <c r="J13" i="32"/>
  <c r="C14" i="32"/>
  <c r="D14" i="32"/>
  <c r="E14" i="32"/>
  <c r="F14" i="32"/>
  <c r="G14" i="32"/>
  <c r="J14" i="32"/>
  <c r="C15" i="32"/>
  <c r="D15" i="32"/>
  <c r="E15" i="32"/>
  <c r="F15" i="32"/>
  <c r="G15" i="32"/>
  <c r="H15" i="32"/>
  <c r="K15" i="32" s="1"/>
  <c r="L15" i="32" s="1"/>
  <c r="J15" i="32"/>
  <c r="C16" i="32"/>
  <c r="H16" i="32" s="1"/>
  <c r="K16" i="32" s="1"/>
  <c r="L16" i="32" s="1"/>
  <c r="D16" i="32"/>
  <c r="E16" i="32"/>
  <c r="F16" i="32"/>
  <c r="G16" i="32"/>
  <c r="J16" i="32"/>
  <c r="C17" i="32"/>
  <c r="D17" i="32"/>
  <c r="E17" i="32"/>
  <c r="F17" i="32"/>
  <c r="G17" i="32"/>
  <c r="J17" i="32"/>
  <c r="C18" i="32"/>
  <c r="D18" i="32"/>
  <c r="E18" i="32"/>
  <c r="F18" i="32"/>
  <c r="G18" i="32"/>
  <c r="J18" i="32"/>
  <c r="C19" i="32"/>
  <c r="H19" i="32" s="1"/>
  <c r="K19" i="32" s="1"/>
  <c r="L19" i="32" s="1"/>
  <c r="D19" i="32"/>
  <c r="E19" i="32"/>
  <c r="F19" i="32"/>
  <c r="G19" i="32"/>
  <c r="J19" i="32"/>
  <c r="C20" i="32"/>
  <c r="D20" i="32"/>
  <c r="E20" i="32"/>
  <c r="F20" i="32"/>
  <c r="G20" i="32"/>
  <c r="J20" i="32"/>
  <c r="C21" i="32"/>
  <c r="D21" i="32"/>
  <c r="E21" i="32"/>
  <c r="F21" i="32"/>
  <c r="G21" i="32"/>
  <c r="J21" i="32"/>
  <c r="C22" i="32"/>
  <c r="D22" i="32"/>
  <c r="E22" i="32"/>
  <c r="H22" i="32" s="1"/>
  <c r="K22" i="32" s="1"/>
  <c r="L22" i="32" s="1"/>
  <c r="F22" i="32"/>
  <c r="G22" i="32"/>
  <c r="J22" i="32"/>
  <c r="C23" i="32"/>
  <c r="H23" i="32" s="1"/>
  <c r="K23" i="32" s="1"/>
  <c r="L23" i="32" s="1"/>
  <c r="D23" i="32"/>
  <c r="E23" i="32"/>
  <c r="F23" i="32"/>
  <c r="G23" i="32"/>
  <c r="J23" i="32"/>
  <c r="C24" i="32"/>
  <c r="H24" i="32" s="1"/>
  <c r="K24" i="32" s="1"/>
  <c r="L24" i="32" s="1"/>
  <c r="D24" i="32"/>
  <c r="E24" i="32"/>
  <c r="F24" i="32"/>
  <c r="G24" i="32"/>
  <c r="J24" i="32"/>
  <c r="C25" i="32"/>
  <c r="H25" i="32" s="1"/>
  <c r="K25" i="32" s="1"/>
  <c r="L25" i="32" s="1"/>
  <c r="D25" i="32"/>
  <c r="E25" i="32"/>
  <c r="F25" i="32"/>
  <c r="G25" i="32"/>
  <c r="J25" i="32"/>
  <c r="C26" i="32"/>
  <c r="D26" i="32"/>
  <c r="E26" i="32"/>
  <c r="F26" i="32"/>
  <c r="G26" i="32"/>
  <c r="J26" i="32"/>
  <c r="C27" i="32"/>
  <c r="H27" i="32" s="1"/>
  <c r="K27" i="32" s="1"/>
  <c r="L27" i="32" s="1"/>
  <c r="D27" i="32"/>
  <c r="E27" i="32"/>
  <c r="F27" i="32"/>
  <c r="G27" i="32"/>
  <c r="J27" i="32"/>
  <c r="C28" i="32"/>
  <c r="D28" i="32"/>
  <c r="E28" i="32"/>
  <c r="F28" i="32"/>
  <c r="G28" i="32"/>
  <c r="J28" i="32"/>
  <c r="C29" i="32"/>
  <c r="H29" i="32" s="1"/>
  <c r="K29" i="32" s="1"/>
  <c r="L29" i="32" s="1"/>
  <c r="D29" i="32"/>
  <c r="E29" i="32"/>
  <c r="F29" i="32"/>
  <c r="G29" i="32"/>
  <c r="J29" i="32"/>
  <c r="C30" i="32"/>
  <c r="D30" i="32"/>
  <c r="E30" i="32"/>
  <c r="H30" i="32" s="1"/>
  <c r="K30" i="32" s="1"/>
  <c r="L30" i="32" s="1"/>
  <c r="F30" i="32"/>
  <c r="G30" i="32"/>
  <c r="J30" i="32"/>
  <c r="C31" i="32"/>
  <c r="H31" i="32" s="1"/>
  <c r="K31" i="32" s="1"/>
  <c r="L31" i="32" s="1"/>
  <c r="D31" i="32"/>
  <c r="E31" i="32"/>
  <c r="F31" i="32"/>
  <c r="G31" i="32"/>
  <c r="J31" i="32"/>
  <c r="C32" i="32"/>
  <c r="D32" i="32"/>
  <c r="E32" i="32"/>
  <c r="F32" i="32"/>
  <c r="G32" i="32"/>
  <c r="J32" i="32"/>
  <c r="C33" i="32"/>
  <c r="D33" i="32"/>
  <c r="E33" i="32"/>
  <c r="F33" i="32"/>
  <c r="G33" i="32"/>
  <c r="J33" i="32"/>
  <c r="C34" i="32"/>
  <c r="D34" i="32"/>
  <c r="E34" i="32"/>
  <c r="H34" i="32" s="1"/>
  <c r="K34" i="32" s="1"/>
  <c r="L34" i="32" s="1"/>
  <c r="F34" i="32"/>
  <c r="G34" i="32"/>
  <c r="J34" i="32"/>
  <c r="C35" i="32"/>
  <c r="D35" i="32"/>
  <c r="E35" i="32"/>
  <c r="H35" i="32" s="1"/>
  <c r="K35" i="32" s="1"/>
  <c r="L35" i="32" s="1"/>
  <c r="F35" i="32"/>
  <c r="G35" i="32"/>
  <c r="J35" i="32"/>
  <c r="C36" i="32"/>
  <c r="H36" i="32" s="1"/>
  <c r="K36" i="32" s="1"/>
  <c r="L36" i="32" s="1"/>
  <c r="D36" i="32"/>
  <c r="E36" i="32"/>
  <c r="F36" i="32"/>
  <c r="G36" i="32"/>
  <c r="J36" i="32"/>
  <c r="C37" i="32"/>
  <c r="H37" i="32" s="1"/>
  <c r="K37" i="32" s="1"/>
  <c r="L37" i="32" s="1"/>
  <c r="D37" i="32"/>
  <c r="E37" i="32"/>
  <c r="F37" i="32"/>
  <c r="G37" i="32"/>
  <c r="J37" i="32"/>
  <c r="C38" i="32"/>
  <c r="D38" i="32"/>
  <c r="E38" i="32"/>
  <c r="F38" i="32"/>
  <c r="G38" i="32"/>
  <c r="J38" i="32"/>
  <c r="C39" i="32"/>
  <c r="D39" i="32"/>
  <c r="E39" i="32"/>
  <c r="F39" i="32"/>
  <c r="G39" i="32"/>
  <c r="H39" i="32"/>
  <c r="K39" i="32" s="1"/>
  <c r="L39" i="32" s="1"/>
  <c r="J39" i="32"/>
  <c r="C40" i="32"/>
  <c r="H40" i="32" s="1"/>
  <c r="K40" i="32" s="1"/>
  <c r="L40" i="32" s="1"/>
  <c r="D40" i="32"/>
  <c r="E40" i="32"/>
  <c r="F40" i="32"/>
  <c r="G40" i="32"/>
  <c r="J40" i="32"/>
  <c r="C41" i="32"/>
  <c r="D41" i="32"/>
  <c r="E41" i="32"/>
  <c r="F41" i="32"/>
  <c r="G41" i="32"/>
  <c r="J41" i="32"/>
  <c r="C42" i="32"/>
  <c r="D42" i="32"/>
  <c r="E42" i="32"/>
  <c r="F42" i="32"/>
  <c r="G42" i="32"/>
  <c r="J42" i="32"/>
  <c r="C43" i="32"/>
  <c r="H43" i="32" s="1"/>
  <c r="K43" i="32" s="1"/>
  <c r="L43" i="32" s="1"/>
  <c r="D43" i="32"/>
  <c r="E43" i="32"/>
  <c r="F43" i="32"/>
  <c r="G43" i="32"/>
  <c r="J43" i="32"/>
  <c r="C44" i="32"/>
  <c r="D44" i="32"/>
  <c r="E44" i="32"/>
  <c r="F44" i="32"/>
  <c r="G44" i="32"/>
  <c r="J44" i="32"/>
  <c r="C45" i="32"/>
  <c r="D45" i="32"/>
  <c r="E45" i="32"/>
  <c r="F45" i="32"/>
  <c r="G45" i="32"/>
  <c r="J45" i="32"/>
  <c r="C46" i="32"/>
  <c r="D46" i="32"/>
  <c r="E46" i="32"/>
  <c r="H46" i="32" s="1"/>
  <c r="K46" i="32" s="1"/>
  <c r="L46" i="32" s="1"/>
  <c r="F46" i="32"/>
  <c r="G46" i="32"/>
  <c r="J46" i="32"/>
  <c r="C47" i="32"/>
  <c r="H47" i="32" s="1"/>
  <c r="K47" i="32" s="1"/>
  <c r="L47" i="32" s="1"/>
  <c r="D47" i="32"/>
  <c r="E47" i="32"/>
  <c r="F47" i="32"/>
  <c r="G47" i="32"/>
  <c r="J47" i="32"/>
  <c r="C48" i="32"/>
  <c r="H48" i="32" s="1"/>
  <c r="K48" i="32" s="1"/>
  <c r="L48" i="32" s="1"/>
  <c r="D48" i="32"/>
  <c r="E48" i="32"/>
  <c r="F48" i="32"/>
  <c r="G48" i="32"/>
  <c r="J48" i="32"/>
  <c r="C49" i="32"/>
  <c r="H49" i="32" s="1"/>
  <c r="K49" i="32" s="1"/>
  <c r="L49" i="32" s="1"/>
  <c r="D49" i="32"/>
  <c r="E49" i="32"/>
  <c r="F49" i="32"/>
  <c r="G49" i="32"/>
  <c r="J49" i="32"/>
  <c r="C50" i="32"/>
  <c r="D50" i="32"/>
  <c r="E50" i="32"/>
  <c r="F50" i="32"/>
  <c r="G50" i="32"/>
  <c r="J50" i="32"/>
  <c r="C51" i="32"/>
  <c r="H51" i="32" s="1"/>
  <c r="K51" i="32" s="1"/>
  <c r="L51" i="32" s="1"/>
  <c r="D51" i="32"/>
  <c r="E51" i="32"/>
  <c r="F51" i="32"/>
  <c r="G51" i="32"/>
  <c r="J51" i="32"/>
  <c r="C52" i="32"/>
  <c r="D52" i="32"/>
  <c r="E52" i="32"/>
  <c r="F52" i="32"/>
  <c r="G52" i="32"/>
  <c r="J52" i="32"/>
  <c r="C53" i="32"/>
  <c r="H53" i="32" s="1"/>
  <c r="K53" i="32" s="1"/>
  <c r="L53" i="32" s="1"/>
  <c r="D53" i="32"/>
  <c r="E53" i="32"/>
  <c r="F53" i="32"/>
  <c r="G53" i="32"/>
  <c r="J53" i="32"/>
  <c r="C54" i="32"/>
  <c r="D54" i="32"/>
  <c r="E54" i="32"/>
  <c r="F54" i="32"/>
  <c r="H54" i="32" s="1"/>
  <c r="K54" i="32" s="1"/>
  <c r="L54" i="32" s="1"/>
  <c r="G54" i="32"/>
  <c r="J54" i="32"/>
  <c r="C55" i="32"/>
  <c r="H55" i="32" s="1"/>
  <c r="K55" i="32" s="1"/>
  <c r="L55" i="32" s="1"/>
  <c r="D55" i="32"/>
  <c r="E55" i="32"/>
  <c r="F55" i="32"/>
  <c r="G55" i="32"/>
  <c r="J55" i="32"/>
  <c r="C56" i="32"/>
  <c r="D56" i="32"/>
  <c r="E56" i="32"/>
  <c r="F56" i="32"/>
  <c r="G56" i="32"/>
  <c r="J56" i="32"/>
  <c r="C57" i="32"/>
  <c r="D57" i="32"/>
  <c r="E57" i="32"/>
  <c r="F57" i="32"/>
  <c r="G57" i="32"/>
  <c r="J57" i="32"/>
  <c r="C58" i="32"/>
  <c r="D58" i="32"/>
  <c r="E58" i="32"/>
  <c r="F58" i="32"/>
  <c r="G58" i="32"/>
  <c r="J58" i="32"/>
  <c r="C59" i="32"/>
  <c r="D59" i="32"/>
  <c r="E59" i="32"/>
  <c r="H59" i="32" s="1"/>
  <c r="K59" i="32" s="1"/>
  <c r="L59" i="32" s="1"/>
  <c r="F59" i="32"/>
  <c r="G59" i="32"/>
  <c r="J59" i="32"/>
  <c r="C60" i="32"/>
  <c r="H60" i="32" s="1"/>
  <c r="K60" i="32" s="1"/>
  <c r="L60" i="32" s="1"/>
  <c r="D60" i="32"/>
  <c r="E60" i="32"/>
  <c r="F60" i="32"/>
  <c r="G60" i="32"/>
  <c r="J60" i="32"/>
  <c r="C61" i="32"/>
  <c r="H61" i="32" s="1"/>
  <c r="K61" i="32" s="1"/>
  <c r="L61" i="32" s="1"/>
  <c r="D61" i="32"/>
  <c r="E61" i="32"/>
  <c r="F61" i="32"/>
  <c r="G61" i="32"/>
  <c r="J61" i="32"/>
  <c r="C62" i="32"/>
  <c r="D62" i="32"/>
  <c r="E62" i="32"/>
  <c r="F62" i="32"/>
  <c r="G62" i="32"/>
  <c r="J62" i="32"/>
  <c r="C63" i="32"/>
  <c r="D63" i="32"/>
  <c r="E63" i="32"/>
  <c r="F63" i="32"/>
  <c r="G63" i="32"/>
  <c r="H63" i="32"/>
  <c r="K63" i="32" s="1"/>
  <c r="L63" i="32" s="1"/>
  <c r="J63" i="32"/>
  <c r="C64" i="32"/>
  <c r="H64" i="32" s="1"/>
  <c r="K64" i="32" s="1"/>
  <c r="L64" i="32" s="1"/>
  <c r="D64" i="32"/>
  <c r="E64" i="32"/>
  <c r="F64" i="32"/>
  <c r="G64" i="32"/>
  <c r="J64" i="32"/>
  <c r="C65" i="32"/>
  <c r="D65" i="32"/>
  <c r="E65" i="32"/>
  <c r="F65" i="32"/>
  <c r="G65" i="32"/>
  <c r="J65" i="32"/>
  <c r="C66" i="32"/>
  <c r="D66" i="32"/>
  <c r="E66" i="32"/>
  <c r="F66" i="32"/>
  <c r="G66" i="32"/>
  <c r="J66" i="32"/>
  <c r="C67" i="32"/>
  <c r="H67" i="32" s="1"/>
  <c r="K67" i="32" s="1"/>
  <c r="L67" i="32" s="1"/>
  <c r="D67" i="32"/>
  <c r="E67" i="32"/>
  <c r="F67" i="32"/>
  <c r="G67" i="32"/>
  <c r="J67" i="32"/>
  <c r="C68" i="32"/>
  <c r="D68" i="32"/>
  <c r="E68" i="32"/>
  <c r="F68" i="32"/>
  <c r="G68" i="32"/>
  <c r="J68" i="32"/>
  <c r="C69" i="32"/>
  <c r="D69" i="32"/>
  <c r="E69" i="32"/>
  <c r="F69" i="32"/>
  <c r="G69" i="32"/>
  <c r="J69" i="32"/>
  <c r="C70" i="32"/>
  <c r="D70" i="32"/>
  <c r="E70" i="32"/>
  <c r="F70" i="32"/>
  <c r="G70" i="32"/>
  <c r="J70" i="32"/>
  <c r="C71" i="32"/>
  <c r="H71" i="32" s="1"/>
  <c r="K71" i="32" s="1"/>
  <c r="L71" i="32" s="1"/>
  <c r="D71" i="32"/>
  <c r="E71" i="32"/>
  <c r="F71" i="32"/>
  <c r="G71" i="32"/>
  <c r="J71" i="32"/>
  <c r="C72" i="32"/>
  <c r="H72" i="32" s="1"/>
  <c r="K72" i="32" s="1"/>
  <c r="L72" i="32" s="1"/>
  <c r="D72" i="32"/>
  <c r="E72" i="32"/>
  <c r="F72" i="32"/>
  <c r="G72" i="32"/>
  <c r="J72" i="32"/>
  <c r="C73" i="32"/>
  <c r="H73" i="32" s="1"/>
  <c r="K73" i="32" s="1"/>
  <c r="L73" i="32" s="1"/>
  <c r="D73" i="32"/>
  <c r="E73" i="32"/>
  <c r="F73" i="32"/>
  <c r="G73" i="32"/>
  <c r="J73" i="32"/>
  <c r="C74" i="32"/>
  <c r="D74" i="32"/>
  <c r="E74" i="32"/>
  <c r="F74" i="32"/>
  <c r="G74" i="32"/>
  <c r="J74" i="32"/>
  <c r="B3" i="32"/>
  <c r="G3" i="32" s="1"/>
  <c r="C3" i="32"/>
  <c r="D3" i="32"/>
  <c r="E3" i="32"/>
  <c r="F3" i="32"/>
  <c r="J3" i="32"/>
  <c r="B4" i="32"/>
  <c r="G4" i="32" s="1"/>
  <c r="C4" i="32"/>
  <c r="D4" i="32"/>
  <c r="E4" i="32"/>
  <c r="F4" i="32"/>
  <c r="J4" i="32"/>
  <c r="B5" i="32"/>
  <c r="G5" i="32" s="1"/>
  <c r="C5" i="32"/>
  <c r="D5" i="32"/>
  <c r="E5" i="32"/>
  <c r="F5" i="32"/>
  <c r="J5" i="32"/>
  <c r="B6" i="32"/>
  <c r="G6" i="32" s="1"/>
  <c r="C6" i="32"/>
  <c r="D6" i="32"/>
  <c r="E6" i="32"/>
  <c r="F6" i="32"/>
  <c r="J6" i="32"/>
  <c r="B7" i="32"/>
  <c r="G7" i="32" s="1"/>
  <c r="C7" i="32"/>
  <c r="D7" i="32"/>
  <c r="E7" i="32"/>
  <c r="F7" i="32"/>
  <c r="J7" i="32"/>
  <c r="B8" i="32"/>
  <c r="G8" i="32" s="1"/>
  <c r="C8" i="32"/>
  <c r="D8" i="32"/>
  <c r="E8" i="32"/>
  <c r="F8" i="32"/>
  <c r="J8" i="32"/>
  <c r="B9" i="32"/>
  <c r="G9" i="32" s="1"/>
  <c r="C9" i="32"/>
  <c r="D9" i="32"/>
  <c r="E9" i="32"/>
  <c r="F9" i="32"/>
  <c r="J9" i="32"/>
  <c r="B10" i="32"/>
  <c r="G10" i="32" s="1"/>
  <c r="C10" i="32"/>
  <c r="D10" i="32"/>
  <c r="E10" i="32"/>
  <c r="F10" i="32"/>
  <c r="J10" i="32"/>
  <c r="B11" i="32"/>
  <c r="A4" i="32"/>
  <c r="A5" i="32"/>
  <c r="A6" i="32"/>
  <c r="A7" i="32"/>
  <c r="A8" i="32"/>
  <c r="A9" i="32"/>
  <c r="A10" i="32"/>
  <c r="A11" i="32"/>
  <c r="A12" i="32"/>
  <c r="B12" i="32"/>
  <c r="A13" i="32"/>
  <c r="B13" i="32"/>
  <c r="A14" i="32"/>
  <c r="B14" i="32"/>
  <c r="A15" i="32"/>
  <c r="B15" i="32"/>
  <c r="A16" i="32"/>
  <c r="B16" i="32"/>
  <c r="A17" i="32"/>
  <c r="B17" i="32"/>
  <c r="A18" i="32"/>
  <c r="B18" i="32"/>
  <c r="A19" i="32"/>
  <c r="B19" i="32"/>
  <c r="A20" i="32"/>
  <c r="B20" i="32"/>
  <c r="A21" i="32"/>
  <c r="B21" i="32"/>
  <c r="A22" i="32"/>
  <c r="B22" i="32"/>
  <c r="A23" i="32"/>
  <c r="B23" i="32"/>
  <c r="A24" i="32"/>
  <c r="B24" i="32"/>
  <c r="A25" i="32"/>
  <c r="B25" i="32"/>
  <c r="A26" i="32"/>
  <c r="B26" i="32"/>
  <c r="A27" i="32"/>
  <c r="B27" i="32"/>
  <c r="A28" i="32"/>
  <c r="B28" i="32"/>
  <c r="A29" i="32"/>
  <c r="B29" i="32"/>
  <c r="A30" i="32"/>
  <c r="B30" i="32"/>
  <c r="A31" i="32"/>
  <c r="B31" i="32"/>
  <c r="A32" i="32"/>
  <c r="B32" i="32"/>
  <c r="A33" i="32"/>
  <c r="B33" i="32"/>
  <c r="A34" i="32"/>
  <c r="B34" i="32"/>
  <c r="A35" i="32"/>
  <c r="B35" i="32"/>
  <c r="A36" i="32"/>
  <c r="B36" i="32"/>
  <c r="A37" i="32"/>
  <c r="B37" i="32"/>
  <c r="A38" i="32"/>
  <c r="B38" i="32"/>
  <c r="A39" i="32"/>
  <c r="B39" i="32"/>
  <c r="A40" i="32"/>
  <c r="B40" i="32"/>
  <c r="A41" i="32"/>
  <c r="B41" i="32"/>
  <c r="A42" i="32"/>
  <c r="B42" i="32"/>
  <c r="A43" i="32"/>
  <c r="B43" i="32"/>
  <c r="A44" i="32"/>
  <c r="B44" i="32"/>
  <c r="A45" i="32"/>
  <c r="B45" i="32"/>
  <c r="A46" i="32"/>
  <c r="B46" i="32"/>
  <c r="A47" i="32"/>
  <c r="B47" i="32"/>
  <c r="A48" i="32"/>
  <c r="B48" i="32"/>
  <c r="A49" i="32"/>
  <c r="B49" i="32"/>
  <c r="A50" i="32"/>
  <c r="B50" i="32"/>
  <c r="A51" i="32"/>
  <c r="B51" i="32"/>
  <c r="A52" i="32"/>
  <c r="B52" i="32"/>
  <c r="A53" i="32"/>
  <c r="B53" i="32"/>
  <c r="A54" i="32"/>
  <c r="B54" i="32"/>
  <c r="A55" i="32"/>
  <c r="B55" i="32"/>
  <c r="A56" i="32"/>
  <c r="B56" i="32"/>
  <c r="A57" i="32"/>
  <c r="B57" i="32"/>
  <c r="A58" i="32"/>
  <c r="B58" i="32"/>
  <c r="A59" i="32"/>
  <c r="B59" i="32"/>
  <c r="A60" i="32"/>
  <c r="B60" i="32"/>
  <c r="A61" i="32"/>
  <c r="B61" i="32"/>
  <c r="A62" i="32"/>
  <c r="B62" i="32"/>
  <c r="A63" i="32"/>
  <c r="B63" i="32"/>
  <c r="A64" i="32"/>
  <c r="B64" i="32"/>
  <c r="A65" i="32"/>
  <c r="B65" i="32"/>
  <c r="A66" i="32"/>
  <c r="B66" i="32"/>
  <c r="A67" i="32"/>
  <c r="B67" i="32"/>
  <c r="A68" i="32"/>
  <c r="B68" i="32"/>
  <c r="A69" i="32"/>
  <c r="B69" i="32"/>
  <c r="A70" i="32"/>
  <c r="B70" i="32"/>
  <c r="A71" i="32"/>
  <c r="B71" i="32"/>
  <c r="A72" i="32"/>
  <c r="B72" i="32"/>
  <c r="A73" i="32"/>
  <c r="B73" i="32"/>
  <c r="A74" i="32"/>
  <c r="B74" i="32"/>
  <c r="J2" i="32"/>
  <c r="A3" i="32"/>
  <c r="F2" i="32"/>
  <c r="D2" i="32"/>
  <c r="E2" i="32"/>
  <c r="C2" i="32"/>
  <c r="B2" i="32"/>
  <c r="G2" i="32" s="1"/>
  <c r="A2" i="32"/>
  <c r="H69" i="32" l="1"/>
  <c r="K69" i="32" s="1"/>
  <c r="L69" i="32" s="1"/>
  <c r="H56" i="32"/>
  <c r="K56" i="32" s="1"/>
  <c r="L56" i="32" s="1"/>
  <c r="H45" i="32"/>
  <c r="K45" i="32" s="1"/>
  <c r="L45" i="32" s="1"/>
  <c r="H32" i="32"/>
  <c r="K32" i="32" s="1"/>
  <c r="L32" i="32" s="1"/>
  <c r="H21" i="32"/>
  <c r="K21" i="32" s="1"/>
  <c r="L21" i="32" s="1"/>
  <c r="H74" i="32"/>
  <c r="K74" i="32" s="1"/>
  <c r="L74" i="32" s="1"/>
  <c r="H50" i="32"/>
  <c r="K50" i="32" s="1"/>
  <c r="L50" i="32" s="1"/>
  <c r="H65" i="32"/>
  <c r="K65" i="32" s="1"/>
  <c r="L65" i="32" s="1"/>
  <c r="H52" i="32"/>
  <c r="K52" i="32" s="1"/>
  <c r="L52" i="32" s="1"/>
  <c r="H41" i="32"/>
  <c r="K41" i="32" s="1"/>
  <c r="L41" i="32" s="1"/>
  <c r="H28" i="32"/>
  <c r="K28" i="32" s="1"/>
  <c r="L28" i="32" s="1"/>
  <c r="H26" i="32"/>
  <c r="K26" i="32" s="1"/>
  <c r="L26" i="32" s="1"/>
  <c r="H17" i="32"/>
  <c r="K17" i="32" s="1"/>
  <c r="L17" i="32" s="1"/>
  <c r="H70" i="32"/>
  <c r="K70" i="32" s="1"/>
  <c r="L70" i="32" s="1"/>
  <c r="H66" i="32"/>
  <c r="K66" i="32" s="1"/>
  <c r="L66" i="32" s="1"/>
  <c r="H68" i="32"/>
  <c r="K68" i="32" s="1"/>
  <c r="L68" i="32" s="1"/>
  <c r="H57" i="32"/>
  <c r="K57" i="32" s="1"/>
  <c r="L57" i="32" s="1"/>
  <c r="H44" i="32"/>
  <c r="K44" i="32" s="1"/>
  <c r="L44" i="32" s="1"/>
  <c r="H42" i="32"/>
  <c r="K42" i="32" s="1"/>
  <c r="L42" i="32" s="1"/>
  <c r="H33" i="32"/>
  <c r="K33" i="32" s="1"/>
  <c r="L33" i="32" s="1"/>
  <c r="H20" i="32"/>
  <c r="K20" i="32" s="1"/>
  <c r="L20" i="32" s="1"/>
  <c r="H18" i="32"/>
  <c r="K18" i="32" s="1"/>
  <c r="L18" i="32" s="1"/>
  <c r="H62" i="32"/>
  <c r="K62" i="32" s="1"/>
  <c r="L62" i="32" s="1"/>
  <c r="H38" i="32"/>
  <c r="K38" i="32" s="1"/>
  <c r="L38" i="32" s="1"/>
  <c r="H14" i="32"/>
  <c r="K14" i="32" s="1"/>
  <c r="L14" i="32" s="1"/>
  <c r="H58" i="32"/>
  <c r="K58" i="32" s="1"/>
  <c r="L58" i="32" s="1"/>
  <c r="H10" i="32"/>
  <c r="K10" i="32" s="1"/>
  <c r="L10" i="32" s="1"/>
  <c r="H8" i="32"/>
  <c r="K8" i="32" s="1"/>
  <c r="L8" i="32" s="1"/>
  <c r="H4" i="32"/>
  <c r="K4" i="32" s="1"/>
  <c r="L4" i="32" s="1"/>
  <c r="H9" i="32"/>
  <c r="K9" i="32" s="1"/>
  <c r="L9" i="32" s="1"/>
  <c r="H2" i="32"/>
  <c r="H3" i="32"/>
  <c r="K3" i="32" s="1"/>
  <c r="L3" i="32" s="1"/>
  <c r="H6" i="32"/>
  <c r="K6" i="32" s="1"/>
  <c r="L6" i="32" s="1"/>
  <c r="H7" i="32"/>
  <c r="H5" i="32"/>
  <c r="K5" i="32" s="1"/>
  <c r="L5" i="32" s="1"/>
  <c r="K2" i="32" l="1"/>
  <c r="L2" i="32" s="1"/>
  <c r="K7" i="32"/>
  <c r="L7" i="32" s="1"/>
</calcChain>
</file>

<file path=xl/sharedStrings.xml><?xml version="1.0" encoding="utf-8"?>
<sst xmlns="http://schemas.openxmlformats.org/spreadsheetml/2006/main" count="1139" uniqueCount="234">
  <si>
    <t>Frage-ID</t>
  </si>
  <si>
    <t>Ebene</t>
  </si>
  <si>
    <t>Unterbereich</t>
  </si>
  <si>
    <t>Fragetext</t>
  </si>
  <si>
    <t>Owner-Dependency (OD)</t>
  </si>
  <si>
    <t>Deal-Blocker (DB)</t>
  </si>
  <si>
    <t>SOP-Trigger (SOP)</t>
  </si>
  <si>
    <t>F-BP-001</t>
  </si>
  <si>
    <t>Kern</t>
  </si>
  <si>
    <t>Block A / A1 Grundverständnis</t>
  </si>
  <si>
    <t>Was macht Ihr Unternehmen heute ganz konkret? (Bitte nicht allgemein, sondern operativ: Was verkaufen Sie wirklich?)</t>
  </si>
  <si>
    <t>Nein</t>
  </si>
  <si>
    <t>Ja</t>
  </si>
  <si>
    <t>F-BP-002</t>
  </si>
  <si>
    <t>Für wen tun Sie das? (Welche Kundentypen / Kundengruppen?)</t>
  </si>
  <si>
    <t>F-BP-003</t>
  </si>
  <si>
    <t>Warum entscheiden sich Kunden aus Ihrer Sicht für Sie – und nicht für andere? (Spontane Antwort, nicht „ideal“, sondern ehrlich.)</t>
  </si>
  <si>
    <t>F-BP-004</t>
  </si>
  <si>
    <t>Block A / A2 Leistung &amp; Angebot</t>
  </si>
  <si>
    <t>Welche Leistungen / Produkte machen den Großteil Ihres Umsatzes aus? (Top 3 reichen.)</t>
  </si>
  <si>
    <t>F-BP-005</t>
  </si>
  <si>
    <t>Welche Leistungen erbringen Sie zwar – würden sie aber heute nicht mehr bewusst aufbauen? (Zeitfresser, Stress, niedrige Marge.)</t>
  </si>
  <si>
    <t>F-BP-006</t>
  </si>
  <si>
    <t>Block A / A3 Geld &amp; Wirtschaftlichkeit</t>
  </si>
  <si>
    <t>Womit verdienen Sie gutes Geld? (Nicht „alles“, sondern konkret.)</t>
  </si>
  <si>
    <t>F-BP-007</t>
  </si>
  <si>
    <t>Wobei fragen Sie sich selbst regelmäßig, warum Sie das überhaupt anbieten?</t>
  </si>
  <si>
    <t>F-BP-008</t>
  </si>
  <si>
    <t>Workspace</t>
  </si>
  <si>
    <t>Block A / A4 Positionierung &amp; Wettbewerb</t>
  </si>
  <si>
    <t>Wie würden Sie sich selbst am Markt einordnen? (Preis/Qualität/Service/Spezialisierung/Verfügbarkeit/Sonstiges)</t>
  </si>
  <si>
    <t>F-BP-011</t>
  </si>
  <si>
    <t>Block A / A5 Kundenzugang &amp; Nachfrage</t>
  </si>
  <si>
    <t>Wie kommen heute neue Kunden zu Ihnen? (Empfehlung, Anfrage, aktiv, zufällig, Plattformen etc.)</t>
  </si>
  <si>
    <t>F-BP-012</t>
  </si>
  <si>
    <t>Welche Anfragen passen gut zu Ihnen – und welche eigentlich nicht?</t>
  </si>
  <si>
    <t>F-BP-015</t>
  </si>
  <si>
    <t>Block B / B1 Führungsstruktur</t>
  </si>
  <si>
    <t>Wer trifft bei Ihnen die wichtigsten Entscheidungen im Unternehmen? (Bitte konkret benennen, nicht „wir gemeinsam“.)</t>
  </si>
  <si>
    <t>F-BP-016</t>
  </si>
  <si>
    <t>Welche Entscheidungen treffen Sie selbst – welche bewusst nicht?</t>
  </si>
  <si>
    <t>F-BP-017</t>
  </si>
  <si>
    <t>Gibt es Themen, bei denen immer wieder Sie gefragt werden? Welche?</t>
  </si>
  <si>
    <t>F-BP-018</t>
  </si>
  <si>
    <t>Block B / B2 Rollen &amp; Verantwortung</t>
  </si>
  <si>
    <t>Welche Rollen gibt es aktuell im Unternehmen? (Nicht Organigramm, sondern funktional: wer ist für was verantwortlich.)</t>
  </si>
  <si>
    <t>F-BP-019</t>
  </si>
  <si>
    <t>Wo ist Verantwortung klar geregelt – wo eher „gewachsen“?</t>
  </si>
  <si>
    <t>F-BP-020</t>
  </si>
  <si>
    <t>Gibt es Schlüsselpersonen, ohne die bestimmte Dinge nicht funktionieren würden?</t>
  </si>
  <si>
    <t>F-BP-021</t>
  </si>
  <si>
    <t>Block B / B3 Entscheidungswege</t>
  </si>
  <si>
    <t>Wie werden Entscheidungen typischerweise getroffen? (spontan/nach Rücksprache/nach festen Regeln/situativ/abhängig von Person)</t>
  </si>
  <si>
    <t>F-BP-022</t>
  </si>
  <si>
    <t>Welche Entscheidungen dauern aus Ihrer Sicht zu lange?</t>
  </si>
  <si>
    <t>F-BP-023</t>
  </si>
  <si>
    <t>Block B / B4 Transparenz &amp; Klarheit</t>
  </si>
  <si>
    <t>Wissen Ihre Mitarbeiter, wer bei welchem Thema entscheidet?</t>
  </si>
  <si>
    <t>F-BP-025</t>
  </si>
  <si>
    <t>Block B / B5 Stellvertretung &amp; Ausfall</t>
  </si>
  <si>
    <t>Was passiert, wenn Sie oder eine Schlüsselperson kurzfristig ausfallen?</t>
  </si>
  <si>
    <t>F-BP-026</t>
  </si>
  <si>
    <t>Gibt es für zentrale Rollen klare Vertretungsregelungen?</t>
  </si>
  <si>
    <t>F-BP-029</t>
  </si>
  <si>
    <t>Block C / C1 Kernabläufe</t>
  </si>
  <si>
    <t>Welche wiederkehrenden Abläufe sind für Ihr Tagesgeschäft entscheidend? (Wo entsteht Leistung für den Kunden?)</t>
  </si>
  <si>
    <t>F-BP-030</t>
  </si>
  <si>
    <t>Welche dieser Abläufe laufen aus Ihrer Sicht „reibungslos“?</t>
  </si>
  <si>
    <t>F-BP-031</t>
  </si>
  <si>
    <t>Welche fühlen sich regelmäßig chaotisch oder fragil an?</t>
  </si>
  <si>
    <t>F-BP-032</t>
  </si>
  <si>
    <t>Block C / C2 Ablaufrealität</t>
  </si>
  <si>
    <t>Wie stark unterscheiden sich tatsächliche Abläufe von dem, was „eigentlich so laufen sollte“?</t>
  </si>
  <si>
    <t>F-BP-033</t>
  </si>
  <si>
    <t>Wo wird regelmäßig improvisiert?</t>
  </si>
  <si>
    <t>F-BP-034</t>
  </si>
  <si>
    <t>Was funktioniert nur, weil bestimmte Personen wissen, „wie es geht“?</t>
  </si>
  <si>
    <t>F-BP-035</t>
  </si>
  <si>
    <t>Block C / C3 Engpässe &amp; Reibung</t>
  </si>
  <si>
    <t>An welchen Stellen geht im Alltag Zeit verloren?</t>
  </si>
  <si>
    <t>F-BP-036</t>
  </si>
  <si>
    <t>Wo entstehen regelmäßig Rückfragen, Nacharbeit oder Verzögerungen?</t>
  </si>
  <si>
    <t>F-BP-037</t>
  </si>
  <si>
    <t>Welche Abläufe hängen stark vom Tagesgeschäft oder von Stimmung ab?</t>
  </si>
  <si>
    <t>F-BP-038</t>
  </si>
  <si>
    <t>Block C / C4 Übergaben &amp; Schnittstellen</t>
  </si>
  <si>
    <t>Wo werden Aufgaben oder Informationen übergeben?</t>
  </si>
  <si>
    <t>F-BP-041</t>
  </si>
  <si>
    <t>Block C / C5 Ausnahmen &amp; Sonderfälle</t>
  </si>
  <si>
    <t>Welche Sonderfälle treten regelmäßig auf, obwohl sie als „Ausnahme“ gelten?</t>
  </si>
  <si>
    <t>F-BP-043</t>
  </si>
  <si>
    <t>Block C / C6 Stabilität &amp; Ausfall</t>
  </si>
  <si>
    <t>Welche Abläufe würden bei Ausfall einzelner Personen sofort stocken?</t>
  </si>
  <si>
    <t>F-BP-044</t>
  </si>
  <si>
    <t>Welche Prozesse sind robust – welche nicht?</t>
  </si>
  <si>
    <t>F-BP-045</t>
  </si>
  <si>
    <t>Block D / D1 Wirtschaftliche Orientierung</t>
  </si>
  <si>
    <t>Woran erkennen Sie, ob Ihr Unternehmen „gut läuft“?</t>
  </si>
  <si>
    <t>F-BP-046</t>
  </si>
  <si>
    <t>Welche Zahlen schauen Sie regelmäßig an?</t>
  </si>
  <si>
    <t>F-BP-047</t>
  </si>
  <si>
    <t>Welche eher selten – obwohl sie wichtig sein könnten?</t>
  </si>
  <si>
    <t>F-BP-048</t>
  </si>
  <si>
    <t>Block D / D2 Steuerungslogik</t>
  </si>
  <si>
    <t>Gibt es klare Kennzahlen, die Entscheidungen beeinflussen?</t>
  </si>
  <si>
    <t>F-BP-049</t>
  </si>
  <si>
    <t>Oder reagieren Sie überwiegend auf Kontostand, Bauchgefühl oder Probleme?</t>
  </si>
  <si>
    <t>F-BP-050</t>
  </si>
  <si>
    <t>Block D / D3 Produkt- &amp; Leistungsbeitrag</t>
  </si>
  <si>
    <t>Welche Leistungen tragen spürbar zum Ergebnis bei?</t>
  </si>
  <si>
    <t>F-BP-051</t>
  </si>
  <si>
    <t>Wo haben Sie das Gefühl, viel Aufwand für wenig Ergebnis zu betreiben?</t>
  </si>
  <si>
    <t>F-BP-052</t>
  </si>
  <si>
    <t>Block D / D4 Transparenz &amp; Verständnis</t>
  </si>
  <si>
    <t>Verstehen Sie selbst jederzeit, wo Geld verdient wird – und wo nicht?</t>
  </si>
  <si>
    <t>F-BP-054</t>
  </si>
  <si>
    <t>Block D / D5 Abhängigkeiten</t>
  </si>
  <si>
    <t>Gibt es Kunden, Produkte oder Personen, von denen das Ergebnis stark abhängt?</t>
  </si>
  <si>
    <t>F-BP-056</t>
  </si>
  <si>
    <t>Block D / D6 Zukunftssteuerung</t>
  </si>
  <si>
    <t>Gibt es Kennzahlen, die Ihnen frühzeitig zeigen, ob sich etwas verschlechtert oder verbessert?</t>
  </si>
  <si>
    <t>F-BP-058</t>
  </si>
  <si>
    <t>Block E / E1 Eingesetzte Systeme</t>
  </si>
  <si>
    <t>Welche Software-Tools werden im Unternehmen genutzt? (Verwaltung, Vertrieb, Kommunikation, Fachanwendungen etc.)</t>
  </si>
  <si>
    <t>F-BP-059</t>
  </si>
  <si>
    <t>Block E / E2 Nutzung im Alltag</t>
  </si>
  <si>
    <t>Welche Tools sind für den Alltag unverzichtbar?</t>
  </si>
  <si>
    <t>F-BP-060</t>
  </si>
  <si>
    <t>Welche werden „offiziell genutzt“, aber faktisch umgangen?</t>
  </si>
  <si>
    <t>F-BP-061</t>
  </si>
  <si>
    <t>Block E / E3 Workarounds</t>
  </si>
  <si>
    <t>Wo wird Software durch Excel, Notizen, E-Mails oder Zuruf ersetzt? Warum?</t>
  </si>
  <si>
    <t>F-BP-062</t>
  </si>
  <si>
    <t>Block E / E4 Tool-Vielfalt &amp; Komplexität</t>
  </si>
  <si>
    <t>Wo existieren mehrere Tools für ähnliche Aufgaben?</t>
  </si>
  <si>
    <t>F-BP-063</t>
  </si>
  <si>
    <t>Wo entstehen doppelte Daten oder Medienbrüche?</t>
  </si>
  <si>
    <t>F-BP-064</t>
  </si>
  <si>
    <t>Block E / E5 Abhängigkeit &amp; Wissen</t>
  </si>
  <si>
    <t>Wer versteht welche Systeme wirklich?</t>
  </si>
  <si>
    <t>F-BP-068</t>
  </si>
  <si>
    <t>Block F / F1 Wissensquellen</t>
  </si>
  <si>
    <t>Wo liegt entscheidendes Wissen im Unternehmen? (In Köpfen, Dokumenten, Gesprächen, E-Mails?)</t>
  </si>
  <si>
    <t>F-BP-069</t>
  </si>
  <si>
    <t>Block F / F2 Weitergabe</t>
  </si>
  <si>
    <t>Wie wird Wissen an neue Mitarbeiter weitergegeben? Was wird erklärt – was muss man „selbst herausfinden“?</t>
  </si>
  <si>
    <t>F-BP-070</t>
  </si>
  <si>
    <t>Block F / F3 Verlust &amp; Abhängigkeit</t>
  </si>
  <si>
    <t>Was würde verloren gehen, wenn bestimmte Personen das Unternehmen verlassen? Ist dieses Risiko bewusst?</t>
  </si>
  <si>
    <t>F-BP-071</t>
  </si>
  <si>
    <t>Block F / F4 Lernen im Alltag</t>
  </si>
  <si>
    <t>Wie lernen Mitarbeiter heute dazu? Strukturiert, beiläufig oder zufällig?</t>
  </si>
  <si>
    <t>F-BP-073</t>
  </si>
  <si>
    <t>Block F / F6 Aktualität</t>
  </si>
  <si>
    <t>Wie wird sichergestellt, dass Wissen aktuell bleibt? Oder veraltet es schleichend?</t>
  </si>
  <si>
    <t>F-BP-074</t>
  </si>
  <si>
    <t>Block G / G1 Informationswege</t>
  </si>
  <si>
    <t>Wie werden Informationen heute weitergegeben? (Meetings, E-Mail, Chat, Zuruf?)</t>
  </si>
  <si>
    <t>F-BP-075</t>
  </si>
  <si>
    <t>Block G / G2 Klarheit</t>
  </si>
  <si>
    <t>Wissen Mitarbeiter, wo sie relevante Informationen finden? Oder fragen sie nach?</t>
  </si>
  <si>
    <t>F-BP-076</t>
  </si>
  <si>
    <t>Block G / G3 Wiederholung &amp; Missverständnisse</t>
  </si>
  <si>
    <t>Welche Themen müssen immer wieder erklärt werden? Wo entstehen regelmäßig Missverständnisse?</t>
  </si>
  <si>
    <t>F-BP-077</t>
  </si>
  <si>
    <t>Block G / G4 Transparenz</t>
  </si>
  <si>
    <t>Welche Informationen sind bewusst geteilt – welche nicht? Warum?</t>
  </si>
  <si>
    <t>F-BP-078</t>
  </si>
  <si>
    <t>Block G / G5 Entscheidungsinformation</t>
  </si>
  <si>
    <t>Wie erfahren Mitarbeiter von Entscheidungen? Frühzeitig oder im Nachhinein?</t>
  </si>
  <si>
    <t>F-BP-080</t>
  </si>
  <si>
    <t>Block H / H1 Rekrutierung</t>
  </si>
  <si>
    <t>Wie leicht fällt es Ihnen, passende Mitarbeiter zu finden? Wo hakt es regelmäßig?</t>
  </si>
  <si>
    <t>F-BP-081</t>
  </si>
  <si>
    <t>Block H / H2 Einarbeitung</t>
  </si>
  <si>
    <t>Wie läuft die Einarbeitung neuer Mitarbeiter ab? Strukturiert oder personenabhängig?</t>
  </si>
  <si>
    <t>F-BP-082</t>
  </si>
  <si>
    <t>Block H / H3 Entlastung</t>
  </si>
  <si>
    <t>Ab welchem Punkt entlasten neue Mitarbeiter wirklich? Oder binden sie lange zusätzliche Kapazität?</t>
  </si>
  <si>
    <t>F-BP-083</t>
  </si>
  <si>
    <t>Block H / H4 Wachstum</t>
  </si>
  <si>
    <t>Was würde passieren, wenn das Unternehmen um 20–30 % wächst? Wo würde es zuerst knirschen?</t>
  </si>
  <si>
    <t>F-BP-084</t>
  </si>
  <si>
    <t>Block H / H5 Übergabefähigkeit</t>
  </si>
  <si>
    <t>Wie gut könnten neue Führungskräfte oder Nachfolger einsteigen? Welche Informationen würden ihnen fehlen?</t>
  </si>
  <si>
    <t>F-BP-085</t>
  </si>
  <si>
    <t>Block H / H6 Belastung</t>
  </si>
  <si>
    <t>Welche Rollen sind dauerhaft überlastet? Warum?</t>
  </si>
  <si>
    <t>F-BP-086</t>
  </si>
  <si>
    <t>Block I / I1 Vertragsrealität</t>
  </si>
  <si>
    <t>Wissen Sie, welche Verträge für Ihr Unternehmen kritisch sind? (Arbeitsverträge, Kunden, Partner, Software, Miete etc.)</t>
  </si>
  <si>
    <t>F-BP-087</t>
  </si>
  <si>
    <t>Block I / I2 Abhängigkeiten</t>
  </si>
  <si>
    <t>Gibt es rechtliche Konstrukte, die stark an Personen oder Konstellationen hängen?</t>
  </si>
  <si>
    <t>F-BP-088</t>
  </si>
  <si>
    <t>Block I / I3 Übergabe &amp; Haftung</t>
  </si>
  <si>
    <t>Gibt es Themen, die bei Übergabe oder Verkauf problematisch werden könnten?</t>
  </si>
  <si>
    <t>F-BP-089</t>
  </si>
  <si>
    <t>Block I / I4 Dokumentation</t>
  </si>
  <si>
    <t>Sind zentrale Vereinbarungen sauber dokumentiert – oder historisch gewachsen?</t>
  </si>
  <si>
    <t>F-BP-090</t>
  </si>
  <si>
    <t>Block I / I5 Regelwerke</t>
  </si>
  <si>
    <t>Gibt es klare interne Regeln, die auch gelebt werden?</t>
  </si>
  <si>
    <t>F-BP-091</t>
  </si>
  <si>
    <t>Block I / I6 Externe Wahrnehmung</t>
  </si>
  <si>
    <t>Wie transparent und nachvollziehbar wäre die Struktur für Dritte?</t>
  </si>
  <si>
    <t>Block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</si>
  <si>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</si>
  <si>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</si>
  <si>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</si>
  <si>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</si>
  <si>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</si>
  <si>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</si>
  <si>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</si>
  <si>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</si>
  <si>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</si>
  <si>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OwnerDep (OD)</t>
  </si>
  <si>
    <t>DealRisk (DR)</t>
  </si>
  <si>
    <t>SOP_Relevanz (SR)</t>
  </si>
  <si>
    <t>KO_Flag</t>
  </si>
  <si>
    <t>Gewicht_Block</t>
  </si>
  <si>
    <t>Gewicht_Gesamt</t>
  </si>
  <si>
    <t>KO_Hart</t>
  </si>
  <si>
    <t>KO_Soft</t>
  </si>
  <si>
    <t>Gewicht</t>
  </si>
  <si>
    <t>Status</t>
  </si>
  <si>
    <t>0 – Nicht vorhanden</t>
  </si>
  <si>
    <t>1 – Kritisch</t>
  </si>
  <si>
    <t>2 – Schwach</t>
  </si>
  <si>
    <t>3 – OK</t>
  </si>
  <si>
    <t>4 – Robust</t>
  </si>
  <si>
    <t>Gap</t>
  </si>
  <si>
    <t>Base Score</t>
  </si>
  <si>
    <t>Priority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</si>
</sst>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2" fontId="0" fillId="0" borderId="0" xfId="0" applyNumberFormat="1"/>
    <xf numFmtId="168" fontId="0" fillId="0" borderId="0" xfId="0" applyNumberFormat="1"/>
    <xf numFmtId="2" fontId="0" fillId="0" borderId="0" xfId="0" quotePrefix="1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BBA3-528C-488E-ACC4-341D5EF34D15}">
  <dimension ref="A1:H74"/>
  <sheetViews>
    <sheetView tabSelected="1" workbookViewId="0">
      <selection activeCell="G2" sqref="G2"/>
    </sheetView>
  </sheetViews>
  <sheetFormatPr baseColWidth="10" defaultRowHeight="15" x14ac:dyDescent="0.25"/>
  <cols>
    <col min="1" max="1" width="8.7109375" bestFit="1" customWidth="1"/>
    <col min="2" max="2" width="5.7109375" bestFit="1" customWidth="1"/>
    <col min="3" max="3" width="10.7109375" bestFit="1" customWidth="1"/>
    <col min="4" max="4" width="46.42578125" customWidth="1"/>
    <col min="5" max="5" width="124.85546875" customWidth="1"/>
    <col min="6" max="6" width="12.140625" customWidth="1"/>
    <col min="7" max="7" width="7.5703125" bestFit="1" customWidth="1"/>
  </cols>
  <sheetData>
    <row r="1" spans="1:8" ht="45" x14ac:dyDescent="0.25">
      <c r="A1" s="1" t="s">
        <v>0</v>
      </c>
      <c r="B1" s="1" t="s">
        <v>206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 t="s">
        <v>207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12</v>
      </c>
    </row>
    <row r="3" spans="1:8" x14ac:dyDescent="0.25">
      <c r="A3" s="2" t="s">
        <v>13</v>
      </c>
      <c r="B3" s="2" t="s">
        <v>207</v>
      </c>
      <c r="C3" s="2" t="s">
        <v>8</v>
      </c>
      <c r="D3" s="2" t="s">
        <v>9</v>
      </c>
      <c r="E3" s="2" t="s">
        <v>14</v>
      </c>
      <c r="F3" s="2" t="s">
        <v>11</v>
      </c>
      <c r="G3" s="2" t="s">
        <v>11</v>
      </c>
      <c r="H3" s="2" t="s">
        <v>11</v>
      </c>
    </row>
    <row r="4" spans="1:8" x14ac:dyDescent="0.25">
      <c r="A4" s="2" t="s">
        <v>15</v>
      </c>
      <c r="B4" s="2" t="s">
        <v>207</v>
      </c>
      <c r="C4" s="2" t="s">
        <v>8</v>
      </c>
      <c r="D4" s="2" t="s">
        <v>9</v>
      </c>
      <c r="E4" s="2" t="s">
        <v>16</v>
      </c>
      <c r="F4" s="2" t="s">
        <v>12</v>
      </c>
      <c r="G4" s="2" t="s">
        <v>11</v>
      </c>
      <c r="H4" s="2" t="s">
        <v>11</v>
      </c>
    </row>
    <row r="5" spans="1:8" x14ac:dyDescent="0.25">
      <c r="A5" s="2" t="s">
        <v>17</v>
      </c>
      <c r="B5" s="2" t="s">
        <v>207</v>
      </c>
      <c r="C5" s="2" t="s">
        <v>8</v>
      </c>
      <c r="D5" s="2" t="s">
        <v>18</v>
      </c>
      <c r="E5" s="2" t="s">
        <v>19</v>
      </c>
      <c r="F5" s="2" t="s">
        <v>11</v>
      </c>
      <c r="G5" s="2" t="s">
        <v>12</v>
      </c>
      <c r="H5" s="2" t="s">
        <v>12</v>
      </c>
    </row>
    <row r="6" spans="1:8" x14ac:dyDescent="0.25">
      <c r="A6" s="2" t="s">
        <v>20</v>
      </c>
      <c r="B6" s="2" t="s">
        <v>207</v>
      </c>
      <c r="C6" s="2" t="s">
        <v>8</v>
      </c>
      <c r="D6" s="2" t="s">
        <v>18</v>
      </c>
      <c r="E6" s="2" t="s">
        <v>21</v>
      </c>
      <c r="F6" s="2" t="s">
        <v>12</v>
      </c>
      <c r="G6" s="2" t="s">
        <v>11</v>
      </c>
      <c r="H6" s="2" t="s">
        <v>12</v>
      </c>
    </row>
    <row r="7" spans="1:8" x14ac:dyDescent="0.25">
      <c r="A7" s="2" t="s">
        <v>22</v>
      </c>
      <c r="B7" s="2" t="s">
        <v>207</v>
      </c>
      <c r="C7" s="2" t="s">
        <v>8</v>
      </c>
      <c r="D7" s="2" t="s">
        <v>23</v>
      </c>
      <c r="E7" s="2" t="s">
        <v>24</v>
      </c>
      <c r="F7" s="2" t="s">
        <v>11</v>
      </c>
      <c r="G7" s="2" t="s">
        <v>12</v>
      </c>
      <c r="H7" s="2" t="s">
        <v>12</v>
      </c>
    </row>
    <row r="8" spans="1:8" x14ac:dyDescent="0.25">
      <c r="A8" s="2" t="s">
        <v>25</v>
      </c>
      <c r="B8" s="2" t="s">
        <v>207</v>
      </c>
      <c r="C8" s="2" t="s">
        <v>8</v>
      </c>
      <c r="D8" s="2" t="s">
        <v>23</v>
      </c>
      <c r="E8" s="2" t="s">
        <v>26</v>
      </c>
      <c r="F8" s="2" t="s">
        <v>11</v>
      </c>
      <c r="G8" s="2" t="s">
        <v>11</v>
      </c>
      <c r="H8" s="2" t="s">
        <v>12</v>
      </c>
    </row>
    <row r="9" spans="1:8" x14ac:dyDescent="0.25">
      <c r="A9" s="2" t="s">
        <v>27</v>
      </c>
      <c r="B9" s="2" t="s">
        <v>207</v>
      </c>
      <c r="C9" s="2" t="s">
        <v>28</v>
      </c>
      <c r="D9" s="2" t="s">
        <v>29</v>
      </c>
      <c r="E9" s="2" t="s">
        <v>30</v>
      </c>
      <c r="F9" s="2" t="s">
        <v>11</v>
      </c>
      <c r="G9" s="2" t="s">
        <v>11</v>
      </c>
      <c r="H9" s="2" t="s">
        <v>11</v>
      </c>
    </row>
    <row r="10" spans="1:8" x14ac:dyDescent="0.25">
      <c r="A10" s="2" t="s">
        <v>31</v>
      </c>
      <c r="B10" s="2" t="s">
        <v>207</v>
      </c>
      <c r="C10" s="2" t="s">
        <v>28</v>
      </c>
      <c r="D10" s="2" t="s">
        <v>32</v>
      </c>
      <c r="E10" s="2" t="s">
        <v>33</v>
      </c>
      <c r="F10" s="2" t="s">
        <v>12</v>
      </c>
      <c r="G10" s="2" t="s">
        <v>11</v>
      </c>
      <c r="H10" s="2" t="s">
        <v>12</v>
      </c>
    </row>
    <row r="11" spans="1:8" x14ac:dyDescent="0.25">
      <c r="A11" s="2" t="s">
        <v>34</v>
      </c>
      <c r="B11" s="2" t="s">
        <v>207</v>
      </c>
      <c r="C11" s="2" t="s">
        <v>28</v>
      </c>
      <c r="D11" s="2" t="s">
        <v>32</v>
      </c>
      <c r="E11" s="2" t="s">
        <v>35</v>
      </c>
      <c r="F11" s="2" t="s">
        <v>12</v>
      </c>
      <c r="G11" s="2" t="s">
        <v>11</v>
      </c>
      <c r="H11" s="2" t="s">
        <v>12</v>
      </c>
    </row>
    <row r="12" spans="1:8" x14ac:dyDescent="0.25">
      <c r="A12" s="2" t="s">
        <v>36</v>
      </c>
      <c r="B12" s="2" t="s">
        <v>208</v>
      </c>
      <c r="C12" s="2" t="s">
        <v>8</v>
      </c>
      <c r="D12" s="2" t="s">
        <v>37</v>
      </c>
      <c r="E12" s="2" t="s">
        <v>38</v>
      </c>
      <c r="F12" s="2" t="s">
        <v>12</v>
      </c>
      <c r="G12" s="2" t="s">
        <v>11</v>
      </c>
      <c r="H12" s="2" t="s">
        <v>12</v>
      </c>
    </row>
    <row r="13" spans="1:8" x14ac:dyDescent="0.25">
      <c r="A13" s="2" t="s">
        <v>39</v>
      </c>
      <c r="B13" s="2" t="s">
        <v>208</v>
      </c>
      <c r="C13" s="2" t="s">
        <v>8</v>
      </c>
      <c r="D13" s="2" t="s">
        <v>37</v>
      </c>
      <c r="E13" s="2" t="s">
        <v>40</v>
      </c>
      <c r="F13" s="2" t="s">
        <v>12</v>
      </c>
      <c r="G13" s="2" t="s">
        <v>11</v>
      </c>
      <c r="H13" s="2" t="s">
        <v>12</v>
      </c>
    </row>
    <row r="14" spans="1:8" x14ac:dyDescent="0.25">
      <c r="A14" s="2" t="s">
        <v>41</v>
      </c>
      <c r="B14" s="2" t="s">
        <v>208</v>
      </c>
      <c r="C14" s="2" t="s">
        <v>8</v>
      </c>
      <c r="D14" s="2" t="s">
        <v>37</v>
      </c>
      <c r="E14" s="2" t="s">
        <v>42</v>
      </c>
      <c r="F14" s="2" t="s">
        <v>12</v>
      </c>
      <c r="G14" s="2" t="s">
        <v>11</v>
      </c>
      <c r="H14" s="2" t="s">
        <v>12</v>
      </c>
    </row>
    <row r="15" spans="1:8" x14ac:dyDescent="0.25">
      <c r="A15" s="2" t="s">
        <v>43</v>
      </c>
      <c r="B15" s="2" t="s">
        <v>208</v>
      </c>
      <c r="C15" s="2" t="s">
        <v>8</v>
      </c>
      <c r="D15" s="2" t="s">
        <v>44</v>
      </c>
      <c r="E15" s="2" t="s">
        <v>45</v>
      </c>
      <c r="F15" s="2" t="s">
        <v>12</v>
      </c>
      <c r="G15" s="2" t="s">
        <v>11</v>
      </c>
      <c r="H15" s="2" t="s">
        <v>12</v>
      </c>
    </row>
    <row r="16" spans="1:8" x14ac:dyDescent="0.25">
      <c r="A16" s="2" t="s">
        <v>46</v>
      </c>
      <c r="B16" s="2" t="s">
        <v>208</v>
      </c>
      <c r="C16" s="2" t="s">
        <v>8</v>
      </c>
      <c r="D16" s="2" t="s">
        <v>44</v>
      </c>
      <c r="E16" s="2" t="s">
        <v>47</v>
      </c>
      <c r="F16" s="2" t="s">
        <v>12</v>
      </c>
      <c r="G16" s="2" t="s">
        <v>11</v>
      </c>
      <c r="H16" s="2" t="s">
        <v>12</v>
      </c>
    </row>
    <row r="17" spans="1:8" x14ac:dyDescent="0.25">
      <c r="A17" s="2" t="s">
        <v>48</v>
      </c>
      <c r="B17" s="2" t="s">
        <v>208</v>
      </c>
      <c r="C17" s="2" t="s">
        <v>8</v>
      </c>
      <c r="D17" s="2" t="s">
        <v>44</v>
      </c>
      <c r="E17" s="2" t="s">
        <v>49</v>
      </c>
      <c r="F17" s="2" t="s">
        <v>12</v>
      </c>
      <c r="G17" s="2" t="s">
        <v>12</v>
      </c>
      <c r="H17" s="2" t="s">
        <v>12</v>
      </c>
    </row>
    <row r="18" spans="1:8" x14ac:dyDescent="0.25">
      <c r="A18" s="2" t="s">
        <v>50</v>
      </c>
      <c r="B18" s="2" t="s">
        <v>208</v>
      </c>
      <c r="C18" s="2" t="s">
        <v>8</v>
      </c>
      <c r="D18" s="2" t="s">
        <v>51</v>
      </c>
      <c r="E18" s="2" t="s">
        <v>52</v>
      </c>
      <c r="F18" s="2" t="s">
        <v>12</v>
      </c>
      <c r="G18" s="2" t="s">
        <v>11</v>
      </c>
      <c r="H18" s="2" t="s">
        <v>12</v>
      </c>
    </row>
    <row r="19" spans="1:8" x14ac:dyDescent="0.25">
      <c r="A19" s="2" t="s">
        <v>53</v>
      </c>
      <c r="B19" s="2" t="s">
        <v>208</v>
      </c>
      <c r="C19" s="2" t="s">
        <v>8</v>
      </c>
      <c r="D19" s="2" t="s">
        <v>51</v>
      </c>
      <c r="E19" s="2" t="s">
        <v>54</v>
      </c>
      <c r="F19" s="2" t="s">
        <v>12</v>
      </c>
      <c r="G19" s="2" t="s">
        <v>11</v>
      </c>
      <c r="H19" s="2" t="s">
        <v>12</v>
      </c>
    </row>
    <row r="20" spans="1:8" x14ac:dyDescent="0.25">
      <c r="A20" s="2" t="s">
        <v>55</v>
      </c>
      <c r="B20" s="2" t="s">
        <v>208</v>
      </c>
      <c r="C20" s="2" t="s">
        <v>28</v>
      </c>
      <c r="D20" s="2" t="s">
        <v>56</v>
      </c>
      <c r="E20" s="2" t="s">
        <v>57</v>
      </c>
      <c r="F20" s="2" t="s">
        <v>12</v>
      </c>
      <c r="G20" s="2" t="s">
        <v>11</v>
      </c>
      <c r="H20" s="2" t="s">
        <v>12</v>
      </c>
    </row>
    <row r="21" spans="1:8" x14ac:dyDescent="0.25">
      <c r="A21" s="2" t="s">
        <v>58</v>
      </c>
      <c r="B21" s="2" t="s">
        <v>208</v>
      </c>
      <c r="C21" s="2" t="s">
        <v>28</v>
      </c>
      <c r="D21" s="2" t="s">
        <v>59</v>
      </c>
      <c r="E21" s="2" t="s">
        <v>60</v>
      </c>
      <c r="F21" s="2" t="s">
        <v>12</v>
      </c>
      <c r="G21" s="2" t="s">
        <v>12</v>
      </c>
      <c r="H21" s="2" t="s">
        <v>12</v>
      </c>
    </row>
    <row r="22" spans="1:8" x14ac:dyDescent="0.25">
      <c r="A22" s="2" t="s">
        <v>61</v>
      </c>
      <c r="B22" s="2" t="s">
        <v>208</v>
      </c>
      <c r="C22" s="2" t="s">
        <v>28</v>
      </c>
      <c r="D22" s="2" t="s">
        <v>59</v>
      </c>
      <c r="E22" s="2" t="s">
        <v>62</v>
      </c>
      <c r="F22" s="2" t="s">
        <v>12</v>
      </c>
      <c r="G22" s="2" t="s">
        <v>12</v>
      </c>
      <c r="H22" s="2" t="s">
        <v>12</v>
      </c>
    </row>
    <row r="23" spans="1:8" x14ac:dyDescent="0.25">
      <c r="A23" s="2" t="s">
        <v>63</v>
      </c>
      <c r="B23" s="2" t="s">
        <v>209</v>
      </c>
      <c r="C23" s="2" t="s">
        <v>8</v>
      </c>
      <c r="D23" s="2" t="s">
        <v>64</v>
      </c>
      <c r="E23" s="2" t="s">
        <v>65</v>
      </c>
      <c r="F23" s="2" t="s">
        <v>11</v>
      </c>
      <c r="G23" s="2" t="s">
        <v>11</v>
      </c>
      <c r="H23" s="2" t="s">
        <v>12</v>
      </c>
    </row>
    <row r="24" spans="1:8" x14ac:dyDescent="0.25">
      <c r="A24" s="2" t="s">
        <v>66</v>
      </c>
      <c r="B24" s="2" t="s">
        <v>209</v>
      </c>
      <c r="C24" s="2" t="s">
        <v>8</v>
      </c>
      <c r="D24" s="2" t="s">
        <v>64</v>
      </c>
      <c r="E24" s="2" t="s">
        <v>67</v>
      </c>
      <c r="F24" s="2" t="s">
        <v>11</v>
      </c>
      <c r="G24" s="2" t="s">
        <v>11</v>
      </c>
      <c r="H24" s="2" t="s">
        <v>12</v>
      </c>
    </row>
    <row r="25" spans="1:8" x14ac:dyDescent="0.25">
      <c r="A25" s="2" t="s">
        <v>68</v>
      </c>
      <c r="B25" s="2" t="s">
        <v>209</v>
      </c>
      <c r="C25" s="2" t="s">
        <v>8</v>
      </c>
      <c r="D25" s="2" t="s">
        <v>64</v>
      </c>
      <c r="E25" s="2" t="s">
        <v>69</v>
      </c>
      <c r="F25" s="2" t="s">
        <v>11</v>
      </c>
      <c r="G25" s="2" t="s">
        <v>11</v>
      </c>
      <c r="H25" s="2" t="s">
        <v>12</v>
      </c>
    </row>
    <row r="26" spans="1:8" x14ac:dyDescent="0.25">
      <c r="A26" s="2" t="s">
        <v>70</v>
      </c>
      <c r="B26" s="2" t="s">
        <v>209</v>
      </c>
      <c r="C26" s="2" t="s">
        <v>8</v>
      </c>
      <c r="D26" s="2" t="s">
        <v>71</v>
      </c>
      <c r="E26" s="2" t="s">
        <v>72</v>
      </c>
      <c r="F26" s="2" t="s">
        <v>11</v>
      </c>
      <c r="G26" s="2" t="s">
        <v>11</v>
      </c>
      <c r="H26" s="2" t="s">
        <v>12</v>
      </c>
    </row>
    <row r="27" spans="1:8" x14ac:dyDescent="0.25">
      <c r="A27" s="2" t="s">
        <v>73</v>
      </c>
      <c r="B27" s="2" t="s">
        <v>209</v>
      </c>
      <c r="C27" s="2" t="s">
        <v>8</v>
      </c>
      <c r="D27" s="2" t="s">
        <v>71</v>
      </c>
      <c r="E27" s="2" t="s">
        <v>74</v>
      </c>
      <c r="F27" s="2" t="s">
        <v>11</v>
      </c>
      <c r="G27" s="2" t="s">
        <v>11</v>
      </c>
      <c r="H27" s="2" t="s">
        <v>12</v>
      </c>
    </row>
    <row r="28" spans="1:8" x14ac:dyDescent="0.25">
      <c r="A28" s="2" t="s">
        <v>75</v>
      </c>
      <c r="B28" s="2" t="s">
        <v>209</v>
      </c>
      <c r="C28" s="2" t="s">
        <v>8</v>
      </c>
      <c r="D28" s="2" t="s">
        <v>71</v>
      </c>
      <c r="E28" s="2" t="s">
        <v>76</v>
      </c>
      <c r="F28" s="2" t="s">
        <v>12</v>
      </c>
      <c r="G28" s="2" t="s">
        <v>12</v>
      </c>
      <c r="H28" s="2" t="s">
        <v>12</v>
      </c>
    </row>
    <row r="29" spans="1:8" x14ac:dyDescent="0.25">
      <c r="A29" s="2" t="s">
        <v>77</v>
      </c>
      <c r="B29" s="2" t="s">
        <v>209</v>
      </c>
      <c r="C29" s="2" t="s">
        <v>8</v>
      </c>
      <c r="D29" s="2" t="s">
        <v>78</v>
      </c>
      <c r="E29" s="2" t="s">
        <v>79</v>
      </c>
      <c r="F29" s="2" t="s">
        <v>11</v>
      </c>
      <c r="G29" s="2" t="s">
        <v>11</v>
      </c>
      <c r="H29" s="2" t="s">
        <v>12</v>
      </c>
    </row>
    <row r="30" spans="1:8" x14ac:dyDescent="0.25">
      <c r="A30" s="2" t="s">
        <v>80</v>
      </c>
      <c r="B30" s="2" t="s">
        <v>209</v>
      </c>
      <c r="C30" s="2" t="s">
        <v>8</v>
      </c>
      <c r="D30" s="2" t="s">
        <v>78</v>
      </c>
      <c r="E30" s="2" t="s">
        <v>81</v>
      </c>
      <c r="F30" s="2" t="s">
        <v>11</v>
      </c>
      <c r="G30" s="2" t="s">
        <v>11</v>
      </c>
      <c r="H30" s="2" t="s">
        <v>12</v>
      </c>
    </row>
    <row r="31" spans="1:8" x14ac:dyDescent="0.25">
      <c r="A31" s="2" t="s">
        <v>82</v>
      </c>
      <c r="B31" s="2" t="s">
        <v>209</v>
      </c>
      <c r="C31" s="2" t="s">
        <v>8</v>
      </c>
      <c r="D31" s="2" t="s">
        <v>78</v>
      </c>
      <c r="E31" s="2" t="s">
        <v>83</v>
      </c>
      <c r="F31" s="2" t="s">
        <v>11</v>
      </c>
      <c r="G31" s="2" t="s">
        <v>11</v>
      </c>
      <c r="H31" s="2" t="s">
        <v>12</v>
      </c>
    </row>
    <row r="32" spans="1:8" x14ac:dyDescent="0.25">
      <c r="A32" s="2" t="s">
        <v>84</v>
      </c>
      <c r="B32" s="2" t="s">
        <v>209</v>
      </c>
      <c r="C32" s="2" t="s">
        <v>28</v>
      </c>
      <c r="D32" s="2" t="s">
        <v>85</v>
      </c>
      <c r="E32" s="2" t="s">
        <v>86</v>
      </c>
      <c r="F32" s="2" t="s">
        <v>11</v>
      </c>
      <c r="G32" s="2" t="s">
        <v>11</v>
      </c>
      <c r="H32" s="2" t="s">
        <v>12</v>
      </c>
    </row>
    <row r="33" spans="1:8" x14ac:dyDescent="0.25">
      <c r="A33" s="2" t="s">
        <v>87</v>
      </c>
      <c r="B33" s="2" t="s">
        <v>209</v>
      </c>
      <c r="C33" s="2" t="s">
        <v>28</v>
      </c>
      <c r="D33" s="2" t="s">
        <v>88</v>
      </c>
      <c r="E33" s="2" t="s">
        <v>89</v>
      </c>
      <c r="F33" s="2" t="s">
        <v>11</v>
      </c>
      <c r="G33" s="2" t="s">
        <v>11</v>
      </c>
      <c r="H33" s="2" t="s">
        <v>12</v>
      </c>
    </row>
    <row r="34" spans="1:8" x14ac:dyDescent="0.25">
      <c r="A34" s="2" t="s">
        <v>90</v>
      </c>
      <c r="B34" s="2" t="s">
        <v>209</v>
      </c>
      <c r="C34" s="2" t="s">
        <v>28</v>
      </c>
      <c r="D34" s="2" t="s">
        <v>91</v>
      </c>
      <c r="E34" s="2" t="s">
        <v>92</v>
      </c>
      <c r="F34" s="2" t="s">
        <v>12</v>
      </c>
      <c r="G34" s="2" t="s">
        <v>12</v>
      </c>
      <c r="H34" s="2" t="s">
        <v>12</v>
      </c>
    </row>
    <row r="35" spans="1:8" x14ac:dyDescent="0.25">
      <c r="A35" s="2" t="s">
        <v>93</v>
      </c>
      <c r="B35" s="2" t="s">
        <v>209</v>
      </c>
      <c r="C35" s="2" t="s">
        <v>28</v>
      </c>
      <c r="D35" s="2" t="s">
        <v>91</v>
      </c>
      <c r="E35" s="2" t="s">
        <v>94</v>
      </c>
      <c r="F35" s="2" t="s">
        <v>11</v>
      </c>
      <c r="G35" s="2" t="s">
        <v>11</v>
      </c>
      <c r="H35" s="2" t="s">
        <v>12</v>
      </c>
    </row>
    <row r="36" spans="1:8" x14ac:dyDescent="0.25">
      <c r="A36" s="2" t="s">
        <v>95</v>
      </c>
      <c r="B36" s="2" t="s">
        <v>210</v>
      </c>
      <c r="C36" s="2" t="s">
        <v>8</v>
      </c>
      <c r="D36" s="2" t="s">
        <v>96</v>
      </c>
      <c r="E36" s="2" t="s">
        <v>97</v>
      </c>
      <c r="F36" s="2" t="s">
        <v>11</v>
      </c>
      <c r="G36" s="2" t="s">
        <v>11</v>
      </c>
      <c r="H36" s="2" t="s">
        <v>11</v>
      </c>
    </row>
    <row r="37" spans="1:8" x14ac:dyDescent="0.25">
      <c r="A37" s="2" t="s">
        <v>98</v>
      </c>
      <c r="B37" s="2" t="s">
        <v>210</v>
      </c>
      <c r="C37" s="2" t="s">
        <v>8</v>
      </c>
      <c r="D37" s="2" t="s">
        <v>96</v>
      </c>
      <c r="E37" s="2" t="s">
        <v>99</v>
      </c>
      <c r="F37" s="2" t="s">
        <v>11</v>
      </c>
      <c r="G37" s="2" t="s">
        <v>11</v>
      </c>
      <c r="H37" s="2" t="s">
        <v>11</v>
      </c>
    </row>
    <row r="38" spans="1:8" x14ac:dyDescent="0.25">
      <c r="A38" s="2" t="s">
        <v>100</v>
      </c>
      <c r="B38" s="2" t="s">
        <v>210</v>
      </c>
      <c r="C38" s="2" t="s">
        <v>8</v>
      </c>
      <c r="D38" s="2" t="s">
        <v>96</v>
      </c>
      <c r="E38" s="2" t="s">
        <v>101</v>
      </c>
      <c r="F38" s="2" t="s">
        <v>11</v>
      </c>
      <c r="G38" s="2" t="s">
        <v>11</v>
      </c>
      <c r="H38" s="2" t="s">
        <v>11</v>
      </c>
    </row>
    <row r="39" spans="1:8" x14ac:dyDescent="0.25">
      <c r="A39" s="2" t="s">
        <v>102</v>
      </c>
      <c r="B39" s="2" t="s">
        <v>210</v>
      </c>
      <c r="C39" s="2" t="s">
        <v>8</v>
      </c>
      <c r="D39" s="2" t="s">
        <v>103</v>
      </c>
      <c r="E39" s="2" t="s">
        <v>104</v>
      </c>
      <c r="F39" s="2" t="s">
        <v>11</v>
      </c>
      <c r="G39" s="2" t="s">
        <v>11</v>
      </c>
      <c r="H39" s="2" t="s">
        <v>12</v>
      </c>
    </row>
    <row r="40" spans="1:8" x14ac:dyDescent="0.25">
      <c r="A40" s="2" t="s">
        <v>105</v>
      </c>
      <c r="B40" s="2" t="s">
        <v>210</v>
      </c>
      <c r="C40" s="2" t="s">
        <v>8</v>
      </c>
      <c r="D40" s="2" t="s">
        <v>103</v>
      </c>
      <c r="E40" s="2" t="s">
        <v>106</v>
      </c>
      <c r="F40" s="2" t="s">
        <v>12</v>
      </c>
      <c r="G40" s="2" t="s">
        <v>11</v>
      </c>
      <c r="H40" s="2" t="s">
        <v>11</v>
      </c>
    </row>
    <row r="41" spans="1:8" x14ac:dyDescent="0.25">
      <c r="A41" s="2" t="s">
        <v>107</v>
      </c>
      <c r="B41" s="2" t="s">
        <v>210</v>
      </c>
      <c r="C41" s="2" t="s">
        <v>8</v>
      </c>
      <c r="D41" s="2" t="s">
        <v>108</v>
      </c>
      <c r="E41" s="2" t="s">
        <v>109</v>
      </c>
      <c r="F41" s="2" t="s">
        <v>11</v>
      </c>
      <c r="G41" s="2" t="s">
        <v>11</v>
      </c>
      <c r="H41" s="2" t="s">
        <v>12</v>
      </c>
    </row>
    <row r="42" spans="1:8" x14ac:dyDescent="0.25">
      <c r="A42" s="2" t="s">
        <v>110</v>
      </c>
      <c r="B42" s="2" t="s">
        <v>210</v>
      </c>
      <c r="C42" s="2" t="s">
        <v>8</v>
      </c>
      <c r="D42" s="2" t="s">
        <v>108</v>
      </c>
      <c r="E42" s="2" t="s">
        <v>111</v>
      </c>
      <c r="F42" s="2" t="s">
        <v>11</v>
      </c>
      <c r="G42" s="2" t="s">
        <v>11</v>
      </c>
      <c r="H42" s="2" t="s">
        <v>12</v>
      </c>
    </row>
    <row r="43" spans="1:8" x14ac:dyDescent="0.25">
      <c r="A43" s="2" t="s">
        <v>112</v>
      </c>
      <c r="B43" s="2" t="s">
        <v>210</v>
      </c>
      <c r="C43" s="2" t="s">
        <v>28</v>
      </c>
      <c r="D43" s="2" t="s">
        <v>113</v>
      </c>
      <c r="E43" s="2" t="s">
        <v>114</v>
      </c>
      <c r="F43" s="2" t="s">
        <v>12</v>
      </c>
      <c r="G43" s="2" t="s">
        <v>12</v>
      </c>
      <c r="H43" s="2" t="s">
        <v>11</v>
      </c>
    </row>
    <row r="44" spans="1:8" x14ac:dyDescent="0.25">
      <c r="A44" s="2" t="s">
        <v>115</v>
      </c>
      <c r="B44" s="2" t="s">
        <v>210</v>
      </c>
      <c r="C44" s="2" t="s">
        <v>28</v>
      </c>
      <c r="D44" s="2" t="s">
        <v>116</v>
      </c>
      <c r="E44" s="2" t="s">
        <v>117</v>
      </c>
      <c r="F44" s="2" t="s">
        <v>11</v>
      </c>
      <c r="G44" s="2" t="s">
        <v>12</v>
      </c>
      <c r="H44" s="2" t="s">
        <v>11</v>
      </c>
    </row>
    <row r="45" spans="1:8" x14ac:dyDescent="0.25">
      <c r="A45" s="2" t="s">
        <v>118</v>
      </c>
      <c r="B45" s="2" t="s">
        <v>210</v>
      </c>
      <c r="C45" s="2" t="s">
        <v>28</v>
      </c>
      <c r="D45" s="2" t="s">
        <v>119</v>
      </c>
      <c r="E45" s="2" t="s">
        <v>120</v>
      </c>
      <c r="F45" s="2" t="s">
        <v>11</v>
      </c>
      <c r="G45" s="2" t="s">
        <v>11</v>
      </c>
      <c r="H45" s="2" t="s">
        <v>12</v>
      </c>
    </row>
    <row r="46" spans="1:8" x14ac:dyDescent="0.25">
      <c r="A46" s="2" t="s">
        <v>121</v>
      </c>
      <c r="B46" s="2" t="s">
        <v>211</v>
      </c>
      <c r="C46" s="2" t="s">
        <v>8</v>
      </c>
      <c r="D46" s="2" t="s">
        <v>122</v>
      </c>
      <c r="E46" s="2" t="s">
        <v>123</v>
      </c>
      <c r="F46" s="2" t="s">
        <v>11</v>
      </c>
      <c r="G46" s="2" t="s">
        <v>11</v>
      </c>
      <c r="H46" s="2" t="s">
        <v>11</v>
      </c>
    </row>
    <row r="47" spans="1:8" x14ac:dyDescent="0.25">
      <c r="A47" s="2" t="s">
        <v>124</v>
      </c>
      <c r="B47" s="2" t="s">
        <v>211</v>
      </c>
      <c r="C47" s="2" t="s">
        <v>8</v>
      </c>
      <c r="D47" s="2" t="s">
        <v>125</v>
      </c>
      <c r="E47" s="2" t="s">
        <v>126</v>
      </c>
      <c r="F47" s="2" t="s">
        <v>11</v>
      </c>
      <c r="G47" s="2" t="s">
        <v>11</v>
      </c>
      <c r="H47" s="2" t="s">
        <v>11</v>
      </c>
    </row>
    <row r="48" spans="1:8" x14ac:dyDescent="0.25">
      <c r="A48" s="2" t="s">
        <v>127</v>
      </c>
      <c r="B48" s="2" t="s">
        <v>211</v>
      </c>
      <c r="C48" s="2" t="s">
        <v>8</v>
      </c>
      <c r="D48" s="2" t="s">
        <v>125</v>
      </c>
      <c r="E48" s="2" t="s">
        <v>128</v>
      </c>
      <c r="F48" s="2" t="s">
        <v>11</v>
      </c>
      <c r="G48" s="2" t="s">
        <v>11</v>
      </c>
      <c r="H48" s="2" t="s">
        <v>11</v>
      </c>
    </row>
    <row r="49" spans="1:8" x14ac:dyDescent="0.25">
      <c r="A49" s="2" t="s">
        <v>129</v>
      </c>
      <c r="B49" s="2" t="s">
        <v>211</v>
      </c>
      <c r="C49" s="2" t="s">
        <v>8</v>
      </c>
      <c r="D49" s="2" t="s">
        <v>130</v>
      </c>
      <c r="E49" s="2" t="s">
        <v>131</v>
      </c>
      <c r="F49" s="2" t="s">
        <v>11</v>
      </c>
      <c r="G49" s="2" t="s">
        <v>11</v>
      </c>
      <c r="H49" s="2" t="s">
        <v>12</v>
      </c>
    </row>
    <row r="50" spans="1:8" x14ac:dyDescent="0.25">
      <c r="A50" s="2" t="s">
        <v>132</v>
      </c>
      <c r="B50" s="2" t="s">
        <v>211</v>
      </c>
      <c r="C50" s="2" t="s">
        <v>28</v>
      </c>
      <c r="D50" s="2" t="s">
        <v>133</v>
      </c>
      <c r="E50" s="2" t="s">
        <v>134</v>
      </c>
      <c r="F50" s="2" t="s">
        <v>11</v>
      </c>
      <c r="G50" s="2" t="s">
        <v>11</v>
      </c>
      <c r="H50" s="2" t="s">
        <v>12</v>
      </c>
    </row>
    <row r="51" spans="1:8" x14ac:dyDescent="0.25">
      <c r="A51" s="2" t="s">
        <v>135</v>
      </c>
      <c r="B51" s="2" t="s">
        <v>211</v>
      </c>
      <c r="C51" s="2" t="s">
        <v>28</v>
      </c>
      <c r="D51" s="2" t="s">
        <v>133</v>
      </c>
      <c r="E51" s="2" t="s">
        <v>136</v>
      </c>
      <c r="F51" s="2" t="s">
        <v>11</v>
      </c>
      <c r="G51" s="2" t="s">
        <v>11</v>
      </c>
      <c r="H51" s="2" t="s">
        <v>12</v>
      </c>
    </row>
    <row r="52" spans="1:8" x14ac:dyDescent="0.25">
      <c r="A52" s="2" t="s">
        <v>137</v>
      </c>
      <c r="B52" s="2" t="s">
        <v>211</v>
      </c>
      <c r="C52" s="2" t="s">
        <v>28</v>
      </c>
      <c r="D52" s="2" t="s">
        <v>138</v>
      </c>
      <c r="E52" s="2" t="s">
        <v>139</v>
      </c>
      <c r="F52" s="2" t="s">
        <v>12</v>
      </c>
      <c r="G52" s="2" t="s">
        <v>11</v>
      </c>
      <c r="H52" s="2" t="s">
        <v>11</v>
      </c>
    </row>
    <row r="53" spans="1:8" x14ac:dyDescent="0.25">
      <c r="A53" s="2" t="s">
        <v>140</v>
      </c>
      <c r="B53" s="2" t="s">
        <v>212</v>
      </c>
      <c r="C53" s="2" t="s">
        <v>8</v>
      </c>
      <c r="D53" s="2" t="s">
        <v>141</v>
      </c>
      <c r="E53" s="2" t="s">
        <v>142</v>
      </c>
      <c r="F53" s="2" t="s">
        <v>12</v>
      </c>
      <c r="G53" s="2" t="s">
        <v>11</v>
      </c>
      <c r="H53" s="2" t="s">
        <v>11</v>
      </c>
    </row>
    <row r="54" spans="1:8" x14ac:dyDescent="0.25">
      <c r="A54" s="2" t="s">
        <v>143</v>
      </c>
      <c r="B54" s="2" t="s">
        <v>212</v>
      </c>
      <c r="C54" s="2" t="s">
        <v>8</v>
      </c>
      <c r="D54" s="2" t="s">
        <v>144</v>
      </c>
      <c r="E54" s="2" t="s">
        <v>145</v>
      </c>
      <c r="F54" s="2" t="s">
        <v>12</v>
      </c>
      <c r="G54" s="2" t="s">
        <v>11</v>
      </c>
      <c r="H54" s="2" t="s">
        <v>12</v>
      </c>
    </row>
    <row r="55" spans="1:8" x14ac:dyDescent="0.25">
      <c r="A55" s="2" t="s">
        <v>146</v>
      </c>
      <c r="B55" s="2" t="s">
        <v>212</v>
      </c>
      <c r="C55" s="2" t="s">
        <v>8</v>
      </c>
      <c r="D55" s="2" t="s">
        <v>147</v>
      </c>
      <c r="E55" s="2" t="s">
        <v>148</v>
      </c>
      <c r="F55" s="2" t="s">
        <v>12</v>
      </c>
      <c r="G55" s="2" t="s">
        <v>12</v>
      </c>
      <c r="H55" s="2" t="s">
        <v>12</v>
      </c>
    </row>
    <row r="56" spans="1:8" x14ac:dyDescent="0.25">
      <c r="A56" s="2" t="s">
        <v>149</v>
      </c>
      <c r="B56" s="2" t="s">
        <v>212</v>
      </c>
      <c r="C56" s="2" t="s">
        <v>28</v>
      </c>
      <c r="D56" s="2" t="s">
        <v>150</v>
      </c>
      <c r="E56" s="2" t="s">
        <v>151</v>
      </c>
      <c r="F56" s="2" t="s">
        <v>12</v>
      </c>
      <c r="G56" s="2" t="s">
        <v>11</v>
      </c>
      <c r="H56" s="2" t="s">
        <v>11</v>
      </c>
    </row>
    <row r="57" spans="1:8" x14ac:dyDescent="0.25">
      <c r="A57" s="2" t="s">
        <v>152</v>
      </c>
      <c r="B57" s="2" t="s">
        <v>212</v>
      </c>
      <c r="C57" s="2" t="s">
        <v>28</v>
      </c>
      <c r="D57" s="2" t="s">
        <v>153</v>
      </c>
      <c r="E57" s="2" t="s">
        <v>154</v>
      </c>
      <c r="F57" s="2" t="s">
        <v>12</v>
      </c>
      <c r="G57" s="2" t="s">
        <v>11</v>
      </c>
      <c r="H57" s="2" t="s">
        <v>12</v>
      </c>
    </row>
    <row r="58" spans="1:8" x14ac:dyDescent="0.25">
      <c r="A58" s="2" t="s">
        <v>155</v>
      </c>
      <c r="B58" s="2" t="s">
        <v>213</v>
      </c>
      <c r="C58" s="2" t="s">
        <v>8</v>
      </c>
      <c r="D58" s="2" t="s">
        <v>156</v>
      </c>
      <c r="E58" s="2" t="s">
        <v>157</v>
      </c>
      <c r="F58" s="2" t="s">
        <v>11</v>
      </c>
      <c r="G58" s="2" t="s">
        <v>11</v>
      </c>
      <c r="H58" s="2" t="s">
        <v>12</v>
      </c>
    </row>
    <row r="59" spans="1:8" x14ac:dyDescent="0.25">
      <c r="A59" s="2" t="s">
        <v>158</v>
      </c>
      <c r="B59" s="2" t="s">
        <v>213</v>
      </c>
      <c r="C59" s="2" t="s">
        <v>8</v>
      </c>
      <c r="D59" s="2" t="s">
        <v>159</v>
      </c>
      <c r="E59" s="2" t="s">
        <v>160</v>
      </c>
      <c r="F59" s="2" t="s">
        <v>12</v>
      </c>
      <c r="G59" s="2" t="s">
        <v>11</v>
      </c>
      <c r="H59" s="2" t="s">
        <v>12</v>
      </c>
    </row>
    <row r="60" spans="1:8" x14ac:dyDescent="0.25">
      <c r="A60" s="2" t="s">
        <v>161</v>
      </c>
      <c r="B60" s="2" t="s">
        <v>213</v>
      </c>
      <c r="C60" s="2" t="s">
        <v>8</v>
      </c>
      <c r="D60" s="2" t="s">
        <v>162</v>
      </c>
      <c r="E60" s="2" t="s">
        <v>163</v>
      </c>
      <c r="F60" s="2" t="s">
        <v>12</v>
      </c>
      <c r="G60" s="2" t="s">
        <v>11</v>
      </c>
      <c r="H60" s="2" t="s">
        <v>12</v>
      </c>
    </row>
    <row r="61" spans="1:8" x14ac:dyDescent="0.25">
      <c r="A61" s="2" t="s">
        <v>164</v>
      </c>
      <c r="B61" s="2" t="s">
        <v>213</v>
      </c>
      <c r="C61" s="2" t="s">
        <v>28</v>
      </c>
      <c r="D61" s="2" t="s">
        <v>165</v>
      </c>
      <c r="E61" s="2" t="s">
        <v>166</v>
      </c>
      <c r="F61" s="2" t="s">
        <v>11</v>
      </c>
      <c r="G61" s="2" t="s">
        <v>11</v>
      </c>
      <c r="H61" s="2" t="s">
        <v>11</v>
      </c>
    </row>
    <row r="62" spans="1:8" x14ac:dyDescent="0.25">
      <c r="A62" s="2" t="s">
        <v>167</v>
      </c>
      <c r="B62" s="2" t="s">
        <v>213</v>
      </c>
      <c r="C62" s="2" t="s">
        <v>28</v>
      </c>
      <c r="D62" s="2" t="s">
        <v>168</v>
      </c>
      <c r="E62" s="2" t="s">
        <v>169</v>
      </c>
      <c r="F62" s="2" t="s">
        <v>12</v>
      </c>
      <c r="G62" s="2" t="s">
        <v>11</v>
      </c>
      <c r="H62" s="2" t="s">
        <v>12</v>
      </c>
    </row>
    <row r="63" spans="1:8" x14ac:dyDescent="0.25">
      <c r="A63" s="2" t="s">
        <v>170</v>
      </c>
      <c r="B63" s="2" t="s">
        <v>214</v>
      </c>
      <c r="C63" s="2" t="s">
        <v>8</v>
      </c>
      <c r="D63" s="2" t="s">
        <v>171</v>
      </c>
      <c r="E63" s="2" t="s">
        <v>172</v>
      </c>
      <c r="F63" s="2" t="s">
        <v>11</v>
      </c>
      <c r="G63" s="2" t="s">
        <v>11</v>
      </c>
      <c r="H63" s="2" t="s">
        <v>11</v>
      </c>
    </row>
    <row r="64" spans="1:8" x14ac:dyDescent="0.25">
      <c r="A64" s="2" t="s">
        <v>173</v>
      </c>
      <c r="B64" s="2" t="s">
        <v>214</v>
      </c>
      <c r="C64" s="2" t="s">
        <v>8</v>
      </c>
      <c r="D64" s="2" t="s">
        <v>174</v>
      </c>
      <c r="E64" s="2" t="s">
        <v>175</v>
      </c>
      <c r="F64" s="2" t="s">
        <v>12</v>
      </c>
      <c r="G64" s="2" t="s">
        <v>11</v>
      </c>
      <c r="H64" s="2" t="s">
        <v>12</v>
      </c>
    </row>
    <row r="65" spans="1:8" x14ac:dyDescent="0.25">
      <c r="A65" s="2" t="s">
        <v>176</v>
      </c>
      <c r="B65" s="2" t="s">
        <v>214</v>
      </c>
      <c r="C65" s="2" t="s">
        <v>8</v>
      </c>
      <c r="D65" s="2" t="s">
        <v>177</v>
      </c>
      <c r="E65" s="2" t="s">
        <v>178</v>
      </c>
      <c r="F65" s="2" t="s">
        <v>12</v>
      </c>
      <c r="G65" s="2" t="s">
        <v>11</v>
      </c>
      <c r="H65" s="2" t="s">
        <v>11</v>
      </c>
    </row>
    <row r="66" spans="1:8" x14ac:dyDescent="0.25">
      <c r="A66" s="2" t="s">
        <v>179</v>
      </c>
      <c r="B66" s="2" t="s">
        <v>214</v>
      </c>
      <c r="C66" s="2" t="s">
        <v>28</v>
      </c>
      <c r="D66" s="2" t="s">
        <v>180</v>
      </c>
      <c r="E66" s="2" t="s">
        <v>181</v>
      </c>
      <c r="F66" s="2" t="s">
        <v>11</v>
      </c>
      <c r="G66" s="2" t="s">
        <v>11</v>
      </c>
      <c r="H66" s="2" t="s">
        <v>11</v>
      </c>
    </row>
    <row r="67" spans="1:8" x14ac:dyDescent="0.25">
      <c r="A67" s="2" t="s">
        <v>182</v>
      </c>
      <c r="B67" s="2" t="s">
        <v>214</v>
      </c>
      <c r="C67" s="2" t="s">
        <v>28</v>
      </c>
      <c r="D67" s="2" t="s">
        <v>183</v>
      </c>
      <c r="E67" s="2" t="s">
        <v>184</v>
      </c>
      <c r="F67" s="2" t="s">
        <v>12</v>
      </c>
      <c r="G67" s="2" t="s">
        <v>12</v>
      </c>
      <c r="H67" s="2" t="s">
        <v>12</v>
      </c>
    </row>
    <row r="68" spans="1:8" x14ac:dyDescent="0.25">
      <c r="A68" s="2" t="s">
        <v>185</v>
      </c>
      <c r="B68" s="2" t="s">
        <v>214</v>
      </c>
      <c r="C68" s="2" t="s">
        <v>28</v>
      </c>
      <c r="D68" s="2" t="s">
        <v>186</v>
      </c>
      <c r="E68" s="2" t="s">
        <v>187</v>
      </c>
      <c r="F68" s="2" t="s">
        <v>11</v>
      </c>
      <c r="G68" s="2" t="s">
        <v>11</v>
      </c>
      <c r="H68" s="2" t="s">
        <v>12</v>
      </c>
    </row>
    <row r="69" spans="1:8" x14ac:dyDescent="0.25">
      <c r="A69" s="2" t="s">
        <v>188</v>
      </c>
      <c r="B69" s="2" t="s">
        <v>215</v>
      </c>
      <c r="C69" s="2" t="s">
        <v>8</v>
      </c>
      <c r="D69" s="2" t="s">
        <v>189</v>
      </c>
      <c r="E69" s="2" t="s">
        <v>190</v>
      </c>
      <c r="F69" s="2" t="s">
        <v>11</v>
      </c>
      <c r="G69" s="2" t="s">
        <v>12</v>
      </c>
      <c r="H69" s="2" t="s">
        <v>11</v>
      </c>
    </row>
    <row r="70" spans="1:8" x14ac:dyDescent="0.25">
      <c r="A70" s="2" t="s">
        <v>191</v>
      </c>
      <c r="B70" s="2" t="s">
        <v>215</v>
      </c>
      <c r="C70" s="2" t="s">
        <v>8</v>
      </c>
      <c r="D70" s="2" t="s">
        <v>192</v>
      </c>
      <c r="E70" s="2" t="s">
        <v>193</v>
      </c>
      <c r="F70" s="2" t="s">
        <v>12</v>
      </c>
      <c r="G70" s="2" t="s">
        <v>12</v>
      </c>
      <c r="H70" s="2" t="s">
        <v>11</v>
      </c>
    </row>
    <row r="71" spans="1:8" x14ac:dyDescent="0.25">
      <c r="A71" s="2" t="s">
        <v>194</v>
      </c>
      <c r="B71" s="2" t="s">
        <v>215</v>
      </c>
      <c r="C71" s="2" t="s">
        <v>8</v>
      </c>
      <c r="D71" s="2" t="s">
        <v>195</v>
      </c>
      <c r="E71" s="2" t="s">
        <v>196</v>
      </c>
      <c r="F71" s="2" t="s">
        <v>12</v>
      </c>
      <c r="G71" s="2" t="s">
        <v>12</v>
      </c>
      <c r="H71" s="2" t="s">
        <v>11</v>
      </c>
    </row>
    <row r="72" spans="1:8" x14ac:dyDescent="0.25">
      <c r="A72" s="2" t="s">
        <v>197</v>
      </c>
      <c r="B72" s="2" t="s">
        <v>215</v>
      </c>
      <c r="C72" s="2" t="s">
        <v>28</v>
      </c>
      <c r="D72" s="2" t="s">
        <v>198</v>
      </c>
      <c r="E72" s="2" t="s">
        <v>199</v>
      </c>
      <c r="F72" s="2" t="s">
        <v>11</v>
      </c>
      <c r="G72" s="2" t="s">
        <v>11</v>
      </c>
      <c r="H72" s="2" t="s">
        <v>12</v>
      </c>
    </row>
    <row r="73" spans="1:8" x14ac:dyDescent="0.25">
      <c r="A73" s="2" t="s">
        <v>200</v>
      </c>
      <c r="B73" s="2" t="s">
        <v>215</v>
      </c>
      <c r="C73" s="2" t="s">
        <v>28</v>
      </c>
      <c r="D73" s="2" t="s">
        <v>201</v>
      </c>
      <c r="E73" s="2" t="s">
        <v>202</v>
      </c>
      <c r="F73" s="2" t="s">
        <v>11</v>
      </c>
      <c r="G73" s="2" t="s">
        <v>11</v>
      </c>
      <c r="H73" s="2" t="s">
        <v>12</v>
      </c>
    </row>
    <row r="74" spans="1:8" x14ac:dyDescent="0.25">
      <c r="A74" s="2" t="s">
        <v>203</v>
      </c>
      <c r="B74" s="2" t="s">
        <v>215</v>
      </c>
      <c r="C74" s="2" t="s">
        <v>28</v>
      </c>
      <c r="D74" s="2" t="s">
        <v>204</v>
      </c>
      <c r="E74" s="2" t="s">
        <v>205</v>
      </c>
      <c r="F74" s="2" t="s">
        <v>11</v>
      </c>
      <c r="G74" s="2" t="s">
        <v>11</v>
      </c>
      <c r="H74" s="2" t="s">
        <v>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F789-3A6F-4F3F-B4C2-23EE6AAE82A6}">
  <dimension ref="A1:G74"/>
  <sheetViews>
    <sheetView workbookViewId="0">
      <selection activeCell="E19" sqref="E19"/>
    </sheetView>
  </sheetViews>
  <sheetFormatPr baseColWidth="10" defaultRowHeight="15" x14ac:dyDescent="0.25"/>
  <cols>
    <col min="1" max="1" width="8.7109375" bestFit="1" customWidth="1"/>
    <col min="2" max="2" width="5.7109375" bestFit="1" customWidth="1"/>
    <col min="3" max="3" width="10.7109375" bestFit="1" customWidth="1"/>
    <col min="4" max="4" width="40.28515625" customWidth="1"/>
    <col min="5" max="5" width="131.7109375" customWidth="1"/>
    <col min="6" max="6" width="8.28515625" bestFit="1" customWidth="1"/>
    <col min="7" max="7" width="8.140625" bestFit="1" customWidth="1"/>
  </cols>
  <sheetData>
    <row r="1" spans="1:7" x14ac:dyDescent="0.25">
      <c r="A1" s="4" t="s">
        <v>0</v>
      </c>
      <c r="B1" s="4" t="s">
        <v>206</v>
      </c>
      <c r="C1" s="4" t="s">
        <v>1</v>
      </c>
      <c r="D1" s="4" t="s">
        <v>2</v>
      </c>
      <c r="E1" s="4" t="s">
        <v>3</v>
      </c>
      <c r="F1" s="4" t="s">
        <v>222</v>
      </c>
      <c r="G1" s="4" t="s">
        <v>223</v>
      </c>
    </row>
    <row r="2" spans="1:7" x14ac:dyDescent="0.25">
      <c r="A2" s="3" t="s">
        <v>7</v>
      </c>
      <c r="B2" s="3" t="s">
        <v>207</v>
      </c>
      <c r="C2" s="3" t="s">
        <v>8</v>
      </c>
      <c r="D2" s="3" t="s">
        <v>9</v>
      </c>
      <c r="E2" s="3" t="s">
        <v>10</v>
      </c>
      <c r="F2" s="3" t="s">
        <v>12</v>
      </c>
      <c r="G2" s="3" t="s">
        <v>11</v>
      </c>
    </row>
    <row r="3" spans="1:7" x14ac:dyDescent="0.25">
      <c r="A3" s="3" t="s">
        <v>13</v>
      </c>
      <c r="B3" s="3" t="s">
        <v>207</v>
      </c>
      <c r="C3" s="3" t="s">
        <v>8</v>
      </c>
      <c r="D3" s="3" t="s">
        <v>9</v>
      </c>
      <c r="E3" s="3" t="s">
        <v>14</v>
      </c>
      <c r="F3" s="3" t="s">
        <v>11</v>
      </c>
      <c r="G3" s="3" t="s">
        <v>12</v>
      </c>
    </row>
    <row r="4" spans="1:7" x14ac:dyDescent="0.25">
      <c r="A4" s="3" t="s">
        <v>15</v>
      </c>
      <c r="B4" s="3" t="s">
        <v>207</v>
      </c>
      <c r="C4" s="3" t="s">
        <v>8</v>
      </c>
      <c r="D4" s="3" t="s">
        <v>9</v>
      </c>
      <c r="E4" s="3" t="s">
        <v>16</v>
      </c>
      <c r="F4" s="3" t="s">
        <v>11</v>
      </c>
      <c r="G4" s="3" t="s">
        <v>12</v>
      </c>
    </row>
    <row r="5" spans="1:7" x14ac:dyDescent="0.25">
      <c r="A5" s="3" t="s">
        <v>17</v>
      </c>
      <c r="B5" s="3" t="s">
        <v>207</v>
      </c>
      <c r="C5" s="3" t="s">
        <v>8</v>
      </c>
      <c r="D5" s="3" t="s">
        <v>18</v>
      </c>
      <c r="E5" s="3" t="s">
        <v>19</v>
      </c>
      <c r="F5" s="3" t="s">
        <v>12</v>
      </c>
      <c r="G5" s="3" t="s">
        <v>11</v>
      </c>
    </row>
    <row r="6" spans="1:7" x14ac:dyDescent="0.25">
      <c r="A6" s="3" t="s">
        <v>20</v>
      </c>
      <c r="B6" s="3" t="s">
        <v>207</v>
      </c>
      <c r="C6" s="3" t="s">
        <v>8</v>
      </c>
      <c r="D6" s="3" t="s">
        <v>18</v>
      </c>
      <c r="E6" s="3" t="s">
        <v>21</v>
      </c>
      <c r="F6" s="3" t="s">
        <v>11</v>
      </c>
      <c r="G6" s="3" t="s">
        <v>12</v>
      </c>
    </row>
    <row r="7" spans="1:7" x14ac:dyDescent="0.25">
      <c r="A7" s="3" t="s">
        <v>22</v>
      </c>
      <c r="B7" s="3" t="s">
        <v>207</v>
      </c>
      <c r="C7" s="3" t="s">
        <v>8</v>
      </c>
      <c r="D7" s="3" t="s">
        <v>23</v>
      </c>
      <c r="E7" s="3" t="s">
        <v>24</v>
      </c>
      <c r="F7" s="3" t="s">
        <v>12</v>
      </c>
      <c r="G7" s="3" t="s">
        <v>11</v>
      </c>
    </row>
    <row r="8" spans="1:7" x14ac:dyDescent="0.25">
      <c r="A8" s="3" t="s">
        <v>25</v>
      </c>
      <c r="B8" s="3" t="s">
        <v>207</v>
      </c>
      <c r="C8" s="3" t="s">
        <v>8</v>
      </c>
      <c r="D8" s="3" t="s">
        <v>23</v>
      </c>
      <c r="E8" s="3" t="s">
        <v>26</v>
      </c>
      <c r="F8" s="3" t="s">
        <v>11</v>
      </c>
      <c r="G8" s="3" t="s">
        <v>12</v>
      </c>
    </row>
    <row r="9" spans="1:7" x14ac:dyDescent="0.25">
      <c r="A9" s="3" t="s">
        <v>27</v>
      </c>
      <c r="B9" s="3" t="s">
        <v>207</v>
      </c>
      <c r="C9" s="3" t="s">
        <v>28</v>
      </c>
      <c r="D9" s="3" t="s">
        <v>29</v>
      </c>
      <c r="E9" s="3" t="s">
        <v>30</v>
      </c>
      <c r="F9" s="3" t="s">
        <v>11</v>
      </c>
      <c r="G9" s="3" t="s">
        <v>12</v>
      </c>
    </row>
    <row r="10" spans="1:7" x14ac:dyDescent="0.25">
      <c r="A10" s="3" t="s">
        <v>31</v>
      </c>
      <c r="B10" s="3" t="s">
        <v>207</v>
      </c>
      <c r="C10" s="3" t="s">
        <v>28</v>
      </c>
      <c r="D10" s="3" t="s">
        <v>32</v>
      </c>
      <c r="E10" s="3" t="s">
        <v>33</v>
      </c>
      <c r="F10" s="3" t="s">
        <v>11</v>
      </c>
      <c r="G10" s="3" t="s">
        <v>12</v>
      </c>
    </row>
    <row r="11" spans="1:7" x14ac:dyDescent="0.25">
      <c r="A11" s="3" t="s">
        <v>34</v>
      </c>
      <c r="B11" s="3" t="s">
        <v>207</v>
      </c>
      <c r="C11" s="3" t="s">
        <v>28</v>
      </c>
      <c r="D11" s="3" t="s">
        <v>32</v>
      </c>
      <c r="E11" s="3" t="s">
        <v>35</v>
      </c>
      <c r="F11" s="3" t="s">
        <v>11</v>
      </c>
      <c r="G11" s="3" t="s">
        <v>12</v>
      </c>
    </row>
    <row r="12" spans="1:7" x14ac:dyDescent="0.25">
      <c r="A12" s="3" t="s">
        <v>36</v>
      </c>
      <c r="B12" s="3" t="s">
        <v>208</v>
      </c>
      <c r="C12" s="3" t="s">
        <v>8</v>
      </c>
      <c r="D12" s="3" t="s">
        <v>37</v>
      </c>
      <c r="E12" s="3" t="s">
        <v>38</v>
      </c>
      <c r="F12" s="3" t="s">
        <v>11</v>
      </c>
      <c r="G12" s="3" t="s">
        <v>12</v>
      </c>
    </row>
    <row r="13" spans="1:7" x14ac:dyDescent="0.25">
      <c r="A13" s="3" t="s">
        <v>39</v>
      </c>
      <c r="B13" s="3" t="s">
        <v>208</v>
      </c>
      <c r="C13" s="3" t="s">
        <v>8</v>
      </c>
      <c r="D13" s="3" t="s">
        <v>37</v>
      </c>
      <c r="E13" s="3" t="s">
        <v>40</v>
      </c>
      <c r="F13" s="3" t="s">
        <v>11</v>
      </c>
      <c r="G13" s="3" t="s">
        <v>12</v>
      </c>
    </row>
    <row r="14" spans="1:7" x14ac:dyDescent="0.25">
      <c r="A14" s="3" t="s">
        <v>41</v>
      </c>
      <c r="B14" s="3" t="s">
        <v>208</v>
      </c>
      <c r="C14" s="3" t="s">
        <v>8</v>
      </c>
      <c r="D14" s="3" t="s">
        <v>37</v>
      </c>
      <c r="E14" s="3" t="s">
        <v>42</v>
      </c>
      <c r="F14" s="3" t="s">
        <v>11</v>
      </c>
      <c r="G14" s="3" t="s">
        <v>12</v>
      </c>
    </row>
    <row r="15" spans="1:7" x14ac:dyDescent="0.25">
      <c r="A15" s="3" t="s">
        <v>43</v>
      </c>
      <c r="B15" s="3" t="s">
        <v>208</v>
      </c>
      <c r="C15" s="3" t="s">
        <v>8</v>
      </c>
      <c r="D15" s="3" t="s">
        <v>44</v>
      </c>
      <c r="E15" s="3" t="s">
        <v>45</v>
      </c>
      <c r="F15" s="3" t="s">
        <v>11</v>
      </c>
      <c r="G15" s="3" t="s">
        <v>12</v>
      </c>
    </row>
    <row r="16" spans="1:7" x14ac:dyDescent="0.25">
      <c r="A16" s="3" t="s">
        <v>46</v>
      </c>
      <c r="B16" s="3" t="s">
        <v>208</v>
      </c>
      <c r="C16" s="3" t="s">
        <v>8</v>
      </c>
      <c r="D16" s="3" t="s">
        <v>44</v>
      </c>
      <c r="E16" s="3" t="s">
        <v>47</v>
      </c>
      <c r="F16" s="3" t="s">
        <v>11</v>
      </c>
      <c r="G16" s="3" t="s">
        <v>12</v>
      </c>
    </row>
    <row r="17" spans="1:7" x14ac:dyDescent="0.25">
      <c r="A17" s="3" t="s">
        <v>48</v>
      </c>
      <c r="B17" s="3" t="s">
        <v>208</v>
      </c>
      <c r="C17" s="3" t="s">
        <v>8</v>
      </c>
      <c r="D17" s="3" t="s">
        <v>44</v>
      </c>
      <c r="E17" s="3" t="s">
        <v>49</v>
      </c>
      <c r="F17" s="3" t="s">
        <v>12</v>
      </c>
      <c r="G17" s="3" t="s">
        <v>11</v>
      </c>
    </row>
    <row r="18" spans="1:7" x14ac:dyDescent="0.25">
      <c r="A18" s="3" t="s">
        <v>50</v>
      </c>
      <c r="B18" s="3" t="s">
        <v>208</v>
      </c>
      <c r="C18" s="3" t="s">
        <v>8</v>
      </c>
      <c r="D18" s="3" t="s">
        <v>51</v>
      </c>
      <c r="E18" s="3" t="s">
        <v>52</v>
      </c>
      <c r="F18" s="3" t="s">
        <v>11</v>
      </c>
      <c r="G18" s="3" t="s">
        <v>12</v>
      </c>
    </row>
    <row r="19" spans="1:7" x14ac:dyDescent="0.25">
      <c r="A19" s="3" t="s">
        <v>53</v>
      </c>
      <c r="B19" s="3" t="s">
        <v>208</v>
      </c>
      <c r="C19" s="3" t="s">
        <v>8</v>
      </c>
      <c r="D19" s="3" t="s">
        <v>51</v>
      </c>
      <c r="E19" s="3" t="s">
        <v>54</v>
      </c>
      <c r="F19" s="3" t="s">
        <v>11</v>
      </c>
      <c r="G19" s="3" t="s">
        <v>12</v>
      </c>
    </row>
    <row r="20" spans="1:7" x14ac:dyDescent="0.25">
      <c r="A20" s="3" t="s">
        <v>55</v>
      </c>
      <c r="B20" s="3" t="s">
        <v>208</v>
      </c>
      <c r="C20" s="3" t="s">
        <v>28</v>
      </c>
      <c r="D20" s="3" t="s">
        <v>56</v>
      </c>
      <c r="E20" s="3" t="s">
        <v>57</v>
      </c>
      <c r="F20" s="3" t="s">
        <v>11</v>
      </c>
      <c r="G20" s="3" t="s">
        <v>12</v>
      </c>
    </row>
    <row r="21" spans="1:7" x14ac:dyDescent="0.25">
      <c r="A21" s="3" t="s">
        <v>58</v>
      </c>
      <c r="B21" s="3" t="s">
        <v>208</v>
      </c>
      <c r="C21" s="3" t="s">
        <v>28</v>
      </c>
      <c r="D21" s="3" t="s">
        <v>59</v>
      </c>
      <c r="E21" s="3" t="s">
        <v>60</v>
      </c>
      <c r="F21" s="3" t="s">
        <v>12</v>
      </c>
      <c r="G21" s="3" t="s">
        <v>11</v>
      </c>
    </row>
    <row r="22" spans="1:7" x14ac:dyDescent="0.25">
      <c r="A22" s="3" t="s">
        <v>61</v>
      </c>
      <c r="B22" s="3" t="s">
        <v>208</v>
      </c>
      <c r="C22" s="3" t="s">
        <v>28</v>
      </c>
      <c r="D22" s="3" t="s">
        <v>59</v>
      </c>
      <c r="E22" s="3" t="s">
        <v>62</v>
      </c>
      <c r="F22" s="3" t="s">
        <v>12</v>
      </c>
      <c r="G22" s="3" t="s">
        <v>11</v>
      </c>
    </row>
    <row r="23" spans="1:7" x14ac:dyDescent="0.25">
      <c r="A23" s="3" t="s">
        <v>63</v>
      </c>
      <c r="B23" s="3" t="s">
        <v>209</v>
      </c>
      <c r="C23" s="3" t="s">
        <v>8</v>
      </c>
      <c r="D23" s="3" t="s">
        <v>64</v>
      </c>
      <c r="E23" s="3" t="s">
        <v>65</v>
      </c>
      <c r="F23" s="3" t="s">
        <v>11</v>
      </c>
      <c r="G23" s="3" t="s">
        <v>12</v>
      </c>
    </row>
    <row r="24" spans="1:7" x14ac:dyDescent="0.25">
      <c r="A24" s="3" t="s">
        <v>66</v>
      </c>
      <c r="B24" s="3" t="s">
        <v>209</v>
      </c>
      <c r="C24" s="3" t="s">
        <v>8</v>
      </c>
      <c r="D24" s="3" t="s">
        <v>64</v>
      </c>
      <c r="E24" s="3" t="s">
        <v>67</v>
      </c>
      <c r="F24" s="3" t="s">
        <v>11</v>
      </c>
      <c r="G24" s="3" t="s">
        <v>12</v>
      </c>
    </row>
    <row r="25" spans="1:7" x14ac:dyDescent="0.25">
      <c r="A25" s="3" t="s">
        <v>68</v>
      </c>
      <c r="B25" s="3" t="s">
        <v>209</v>
      </c>
      <c r="C25" s="3" t="s">
        <v>8</v>
      </c>
      <c r="D25" s="3" t="s">
        <v>64</v>
      </c>
      <c r="E25" s="3" t="s">
        <v>69</v>
      </c>
      <c r="F25" s="3" t="s">
        <v>11</v>
      </c>
      <c r="G25" s="3" t="s">
        <v>12</v>
      </c>
    </row>
    <row r="26" spans="1:7" x14ac:dyDescent="0.25">
      <c r="A26" s="3" t="s">
        <v>70</v>
      </c>
      <c r="B26" s="3" t="s">
        <v>209</v>
      </c>
      <c r="C26" s="3" t="s">
        <v>8</v>
      </c>
      <c r="D26" s="3" t="s">
        <v>71</v>
      </c>
      <c r="E26" s="3" t="s">
        <v>72</v>
      </c>
      <c r="F26" s="3" t="s">
        <v>11</v>
      </c>
      <c r="G26" s="3" t="s">
        <v>12</v>
      </c>
    </row>
    <row r="27" spans="1:7" x14ac:dyDescent="0.25">
      <c r="A27" s="3" t="s">
        <v>73</v>
      </c>
      <c r="B27" s="3" t="s">
        <v>209</v>
      </c>
      <c r="C27" s="3" t="s">
        <v>8</v>
      </c>
      <c r="D27" s="3" t="s">
        <v>71</v>
      </c>
      <c r="E27" s="3" t="s">
        <v>74</v>
      </c>
      <c r="F27" s="3" t="s">
        <v>11</v>
      </c>
      <c r="G27" s="3" t="s">
        <v>12</v>
      </c>
    </row>
    <row r="28" spans="1:7" x14ac:dyDescent="0.25">
      <c r="A28" s="3" t="s">
        <v>75</v>
      </c>
      <c r="B28" s="3" t="s">
        <v>209</v>
      </c>
      <c r="C28" s="3" t="s">
        <v>8</v>
      </c>
      <c r="D28" s="3" t="s">
        <v>71</v>
      </c>
      <c r="E28" s="3" t="s">
        <v>76</v>
      </c>
      <c r="F28" s="3" t="s">
        <v>12</v>
      </c>
      <c r="G28" s="3" t="s">
        <v>11</v>
      </c>
    </row>
    <row r="29" spans="1:7" x14ac:dyDescent="0.25">
      <c r="A29" s="3" t="s">
        <v>77</v>
      </c>
      <c r="B29" s="3" t="s">
        <v>209</v>
      </c>
      <c r="C29" s="3" t="s">
        <v>8</v>
      </c>
      <c r="D29" s="3" t="s">
        <v>78</v>
      </c>
      <c r="E29" s="3" t="s">
        <v>79</v>
      </c>
      <c r="F29" s="3" t="s">
        <v>11</v>
      </c>
      <c r="G29" s="3" t="s">
        <v>12</v>
      </c>
    </row>
    <row r="30" spans="1:7" x14ac:dyDescent="0.25">
      <c r="A30" s="3" t="s">
        <v>80</v>
      </c>
      <c r="B30" s="3" t="s">
        <v>209</v>
      </c>
      <c r="C30" s="3" t="s">
        <v>8</v>
      </c>
      <c r="D30" s="3" t="s">
        <v>78</v>
      </c>
      <c r="E30" s="3" t="s">
        <v>81</v>
      </c>
      <c r="F30" s="3" t="s">
        <v>11</v>
      </c>
      <c r="G30" s="3" t="s">
        <v>12</v>
      </c>
    </row>
    <row r="31" spans="1:7" x14ac:dyDescent="0.25">
      <c r="A31" s="3" t="s">
        <v>82</v>
      </c>
      <c r="B31" s="3" t="s">
        <v>209</v>
      </c>
      <c r="C31" s="3" t="s">
        <v>8</v>
      </c>
      <c r="D31" s="3" t="s">
        <v>78</v>
      </c>
      <c r="E31" s="3" t="s">
        <v>83</v>
      </c>
      <c r="F31" s="3" t="s">
        <v>11</v>
      </c>
      <c r="G31" s="3" t="s">
        <v>12</v>
      </c>
    </row>
    <row r="32" spans="1:7" x14ac:dyDescent="0.25">
      <c r="A32" s="3" t="s">
        <v>84</v>
      </c>
      <c r="B32" s="3" t="s">
        <v>209</v>
      </c>
      <c r="C32" s="3" t="s">
        <v>28</v>
      </c>
      <c r="D32" s="3" t="s">
        <v>85</v>
      </c>
      <c r="E32" s="3" t="s">
        <v>86</v>
      </c>
      <c r="F32" s="3" t="s">
        <v>11</v>
      </c>
      <c r="G32" s="3" t="s">
        <v>12</v>
      </c>
    </row>
    <row r="33" spans="1:7" x14ac:dyDescent="0.25">
      <c r="A33" s="3" t="s">
        <v>87</v>
      </c>
      <c r="B33" s="3" t="s">
        <v>209</v>
      </c>
      <c r="C33" s="3" t="s">
        <v>28</v>
      </c>
      <c r="D33" s="3" t="s">
        <v>88</v>
      </c>
      <c r="E33" s="3" t="s">
        <v>89</v>
      </c>
      <c r="F33" s="3" t="s">
        <v>11</v>
      </c>
      <c r="G33" s="3" t="s">
        <v>12</v>
      </c>
    </row>
    <row r="34" spans="1:7" x14ac:dyDescent="0.25">
      <c r="A34" s="3" t="s">
        <v>90</v>
      </c>
      <c r="B34" s="3" t="s">
        <v>209</v>
      </c>
      <c r="C34" s="3" t="s">
        <v>28</v>
      </c>
      <c r="D34" s="3" t="s">
        <v>91</v>
      </c>
      <c r="E34" s="3" t="s">
        <v>92</v>
      </c>
      <c r="F34" s="3" t="s">
        <v>12</v>
      </c>
      <c r="G34" s="3" t="s">
        <v>11</v>
      </c>
    </row>
    <row r="35" spans="1:7" x14ac:dyDescent="0.25">
      <c r="A35" s="3" t="s">
        <v>93</v>
      </c>
      <c r="B35" s="3" t="s">
        <v>209</v>
      </c>
      <c r="C35" s="3" t="s">
        <v>28</v>
      </c>
      <c r="D35" s="3" t="s">
        <v>91</v>
      </c>
      <c r="E35" s="3" t="s">
        <v>94</v>
      </c>
      <c r="F35" s="3" t="s">
        <v>11</v>
      </c>
      <c r="G35" s="3" t="s">
        <v>12</v>
      </c>
    </row>
    <row r="36" spans="1:7" x14ac:dyDescent="0.25">
      <c r="A36" s="3" t="s">
        <v>95</v>
      </c>
      <c r="B36" s="3" t="s">
        <v>210</v>
      </c>
      <c r="C36" s="3" t="s">
        <v>8</v>
      </c>
      <c r="D36" s="3" t="s">
        <v>96</v>
      </c>
      <c r="E36" s="3" t="s">
        <v>97</v>
      </c>
      <c r="F36" s="3" t="s">
        <v>11</v>
      </c>
      <c r="G36" s="3" t="s">
        <v>12</v>
      </c>
    </row>
    <row r="37" spans="1:7" x14ac:dyDescent="0.25">
      <c r="A37" s="3" t="s">
        <v>98</v>
      </c>
      <c r="B37" s="3" t="s">
        <v>210</v>
      </c>
      <c r="C37" s="3" t="s">
        <v>8</v>
      </c>
      <c r="D37" s="3" t="s">
        <v>96</v>
      </c>
      <c r="E37" s="3" t="s">
        <v>99</v>
      </c>
      <c r="F37" s="3" t="s">
        <v>11</v>
      </c>
      <c r="G37" s="3" t="s">
        <v>12</v>
      </c>
    </row>
    <row r="38" spans="1:7" x14ac:dyDescent="0.25">
      <c r="A38" s="3" t="s">
        <v>100</v>
      </c>
      <c r="B38" s="3" t="s">
        <v>210</v>
      </c>
      <c r="C38" s="3" t="s">
        <v>8</v>
      </c>
      <c r="D38" s="3" t="s">
        <v>96</v>
      </c>
      <c r="E38" s="3" t="s">
        <v>101</v>
      </c>
      <c r="F38" s="3" t="s">
        <v>11</v>
      </c>
      <c r="G38" s="3" t="s">
        <v>12</v>
      </c>
    </row>
    <row r="39" spans="1:7" x14ac:dyDescent="0.25">
      <c r="A39" s="3" t="s">
        <v>102</v>
      </c>
      <c r="B39" s="3" t="s">
        <v>210</v>
      </c>
      <c r="C39" s="3" t="s">
        <v>8</v>
      </c>
      <c r="D39" s="3" t="s">
        <v>103</v>
      </c>
      <c r="E39" s="3" t="s">
        <v>104</v>
      </c>
      <c r="F39" s="3" t="s">
        <v>11</v>
      </c>
      <c r="G39" s="3" t="s">
        <v>12</v>
      </c>
    </row>
    <row r="40" spans="1:7" x14ac:dyDescent="0.25">
      <c r="A40" s="3" t="s">
        <v>105</v>
      </c>
      <c r="B40" s="3" t="s">
        <v>210</v>
      </c>
      <c r="C40" s="3" t="s">
        <v>8</v>
      </c>
      <c r="D40" s="3" t="s">
        <v>103</v>
      </c>
      <c r="E40" s="3" t="s">
        <v>106</v>
      </c>
      <c r="F40" s="3" t="s">
        <v>11</v>
      </c>
      <c r="G40" s="3" t="s">
        <v>12</v>
      </c>
    </row>
    <row r="41" spans="1:7" x14ac:dyDescent="0.25">
      <c r="A41" s="3" t="s">
        <v>107</v>
      </c>
      <c r="B41" s="3" t="s">
        <v>210</v>
      </c>
      <c r="C41" s="3" t="s">
        <v>8</v>
      </c>
      <c r="D41" s="3" t="s">
        <v>108</v>
      </c>
      <c r="E41" s="3" t="s">
        <v>109</v>
      </c>
      <c r="F41" s="3" t="s">
        <v>11</v>
      </c>
      <c r="G41" s="3" t="s">
        <v>12</v>
      </c>
    </row>
    <row r="42" spans="1:7" x14ac:dyDescent="0.25">
      <c r="A42" s="3" t="s">
        <v>110</v>
      </c>
      <c r="B42" s="3" t="s">
        <v>210</v>
      </c>
      <c r="C42" s="3" t="s">
        <v>8</v>
      </c>
      <c r="D42" s="3" t="s">
        <v>108</v>
      </c>
      <c r="E42" s="3" t="s">
        <v>111</v>
      </c>
      <c r="F42" s="3" t="s">
        <v>11</v>
      </c>
      <c r="G42" s="3" t="s">
        <v>12</v>
      </c>
    </row>
    <row r="43" spans="1:7" x14ac:dyDescent="0.25">
      <c r="A43" s="3" t="s">
        <v>112</v>
      </c>
      <c r="B43" s="3" t="s">
        <v>210</v>
      </c>
      <c r="C43" s="3" t="s">
        <v>28</v>
      </c>
      <c r="D43" s="3" t="s">
        <v>113</v>
      </c>
      <c r="E43" s="3" t="s">
        <v>114</v>
      </c>
      <c r="F43" s="3" t="s">
        <v>12</v>
      </c>
      <c r="G43" s="3" t="s">
        <v>11</v>
      </c>
    </row>
    <row r="44" spans="1:7" x14ac:dyDescent="0.25">
      <c r="A44" s="3" t="s">
        <v>115</v>
      </c>
      <c r="B44" s="3" t="s">
        <v>210</v>
      </c>
      <c r="C44" s="3" t="s">
        <v>28</v>
      </c>
      <c r="D44" s="3" t="s">
        <v>116</v>
      </c>
      <c r="E44" s="3" t="s">
        <v>117</v>
      </c>
      <c r="F44" s="3" t="s">
        <v>12</v>
      </c>
      <c r="G44" s="3" t="s">
        <v>11</v>
      </c>
    </row>
    <row r="45" spans="1:7" x14ac:dyDescent="0.25">
      <c r="A45" s="3" t="s">
        <v>118</v>
      </c>
      <c r="B45" s="3" t="s">
        <v>210</v>
      </c>
      <c r="C45" s="3" t="s">
        <v>28</v>
      </c>
      <c r="D45" s="3" t="s">
        <v>119</v>
      </c>
      <c r="E45" s="3" t="s">
        <v>120</v>
      </c>
      <c r="F45" s="3" t="s">
        <v>11</v>
      </c>
      <c r="G45" s="3" t="s">
        <v>12</v>
      </c>
    </row>
    <row r="46" spans="1:7" x14ac:dyDescent="0.25">
      <c r="A46" s="3" t="s">
        <v>121</v>
      </c>
      <c r="B46" s="3" t="s">
        <v>211</v>
      </c>
      <c r="C46" s="3" t="s">
        <v>8</v>
      </c>
      <c r="D46" s="3" t="s">
        <v>122</v>
      </c>
      <c r="E46" s="3" t="s">
        <v>123</v>
      </c>
      <c r="F46" s="3" t="s">
        <v>11</v>
      </c>
      <c r="G46" s="3" t="s">
        <v>12</v>
      </c>
    </row>
    <row r="47" spans="1:7" x14ac:dyDescent="0.25">
      <c r="A47" s="3" t="s">
        <v>124</v>
      </c>
      <c r="B47" s="3" t="s">
        <v>211</v>
      </c>
      <c r="C47" s="3" t="s">
        <v>8</v>
      </c>
      <c r="D47" s="3" t="s">
        <v>125</v>
      </c>
      <c r="E47" s="3" t="s">
        <v>126</v>
      </c>
      <c r="F47" s="3" t="s">
        <v>11</v>
      </c>
      <c r="G47" s="3" t="s">
        <v>12</v>
      </c>
    </row>
    <row r="48" spans="1:7" x14ac:dyDescent="0.25">
      <c r="A48" s="3" t="s">
        <v>127</v>
      </c>
      <c r="B48" s="3" t="s">
        <v>211</v>
      </c>
      <c r="C48" s="3" t="s">
        <v>8</v>
      </c>
      <c r="D48" s="3" t="s">
        <v>125</v>
      </c>
      <c r="E48" s="3" t="s">
        <v>128</v>
      </c>
      <c r="F48" s="3" t="s">
        <v>11</v>
      </c>
      <c r="G48" s="3" t="s">
        <v>12</v>
      </c>
    </row>
    <row r="49" spans="1:7" x14ac:dyDescent="0.25">
      <c r="A49" s="3" t="s">
        <v>129</v>
      </c>
      <c r="B49" s="3" t="s">
        <v>211</v>
      </c>
      <c r="C49" s="3" t="s">
        <v>8</v>
      </c>
      <c r="D49" s="3" t="s">
        <v>130</v>
      </c>
      <c r="E49" s="3" t="s">
        <v>131</v>
      </c>
      <c r="F49" s="3" t="s">
        <v>11</v>
      </c>
      <c r="G49" s="3" t="s">
        <v>12</v>
      </c>
    </row>
    <row r="50" spans="1:7" x14ac:dyDescent="0.25">
      <c r="A50" s="3" t="s">
        <v>132</v>
      </c>
      <c r="B50" s="3" t="s">
        <v>211</v>
      </c>
      <c r="C50" s="3" t="s">
        <v>28</v>
      </c>
      <c r="D50" s="3" t="s">
        <v>133</v>
      </c>
      <c r="E50" s="3" t="s">
        <v>134</v>
      </c>
      <c r="F50" s="3" t="s">
        <v>11</v>
      </c>
      <c r="G50" s="3" t="s">
        <v>12</v>
      </c>
    </row>
    <row r="51" spans="1:7" x14ac:dyDescent="0.25">
      <c r="A51" s="3" t="s">
        <v>135</v>
      </c>
      <c r="B51" s="3" t="s">
        <v>211</v>
      </c>
      <c r="C51" s="3" t="s">
        <v>28</v>
      </c>
      <c r="D51" s="3" t="s">
        <v>133</v>
      </c>
      <c r="E51" s="3" t="s">
        <v>136</v>
      </c>
      <c r="F51" s="3" t="s">
        <v>11</v>
      </c>
      <c r="G51" s="3" t="s">
        <v>12</v>
      </c>
    </row>
    <row r="52" spans="1:7" x14ac:dyDescent="0.25">
      <c r="A52" s="3" t="s">
        <v>137</v>
      </c>
      <c r="B52" s="3" t="s">
        <v>211</v>
      </c>
      <c r="C52" s="3" t="s">
        <v>28</v>
      </c>
      <c r="D52" s="3" t="s">
        <v>138</v>
      </c>
      <c r="E52" s="3" t="s">
        <v>139</v>
      </c>
      <c r="F52" s="3" t="s">
        <v>11</v>
      </c>
      <c r="G52" s="3" t="s">
        <v>12</v>
      </c>
    </row>
    <row r="53" spans="1:7" x14ac:dyDescent="0.25">
      <c r="A53" s="3" t="s">
        <v>140</v>
      </c>
      <c r="B53" s="3" t="s">
        <v>212</v>
      </c>
      <c r="C53" s="3" t="s">
        <v>8</v>
      </c>
      <c r="D53" s="3" t="s">
        <v>141</v>
      </c>
      <c r="E53" s="3" t="s">
        <v>142</v>
      </c>
      <c r="F53" s="3" t="s">
        <v>11</v>
      </c>
      <c r="G53" s="3" t="s">
        <v>12</v>
      </c>
    </row>
    <row r="54" spans="1:7" x14ac:dyDescent="0.25">
      <c r="A54" s="3" t="s">
        <v>143</v>
      </c>
      <c r="B54" s="3" t="s">
        <v>212</v>
      </c>
      <c r="C54" s="3" t="s">
        <v>8</v>
      </c>
      <c r="D54" s="3" t="s">
        <v>144</v>
      </c>
      <c r="E54" s="3" t="s">
        <v>145</v>
      </c>
      <c r="F54" s="3" t="s">
        <v>11</v>
      </c>
      <c r="G54" s="3" t="s">
        <v>12</v>
      </c>
    </row>
    <row r="55" spans="1:7" x14ac:dyDescent="0.25">
      <c r="A55" s="3" t="s">
        <v>146</v>
      </c>
      <c r="B55" s="3" t="s">
        <v>212</v>
      </c>
      <c r="C55" s="3" t="s">
        <v>8</v>
      </c>
      <c r="D55" s="3" t="s">
        <v>147</v>
      </c>
      <c r="E55" s="3" t="s">
        <v>148</v>
      </c>
      <c r="F55" s="3" t="s">
        <v>12</v>
      </c>
      <c r="G55" s="3" t="s">
        <v>11</v>
      </c>
    </row>
    <row r="56" spans="1:7" x14ac:dyDescent="0.25">
      <c r="A56" s="3" t="s">
        <v>149</v>
      </c>
      <c r="B56" s="3" t="s">
        <v>212</v>
      </c>
      <c r="C56" s="3" t="s">
        <v>28</v>
      </c>
      <c r="D56" s="3" t="s">
        <v>150</v>
      </c>
      <c r="E56" s="3" t="s">
        <v>151</v>
      </c>
      <c r="F56" s="3" t="s">
        <v>11</v>
      </c>
      <c r="G56" s="3" t="s">
        <v>12</v>
      </c>
    </row>
    <row r="57" spans="1:7" x14ac:dyDescent="0.25">
      <c r="A57" s="3" t="s">
        <v>152</v>
      </c>
      <c r="B57" s="3" t="s">
        <v>212</v>
      </c>
      <c r="C57" s="3" t="s">
        <v>28</v>
      </c>
      <c r="D57" s="3" t="s">
        <v>153</v>
      </c>
      <c r="E57" s="3" t="s">
        <v>154</v>
      </c>
      <c r="F57" s="3" t="s">
        <v>11</v>
      </c>
      <c r="G57" s="3" t="s">
        <v>12</v>
      </c>
    </row>
    <row r="58" spans="1:7" x14ac:dyDescent="0.25">
      <c r="A58" s="3" t="s">
        <v>155</v>
      </c>
      <c r="B58" s="3" t="s">
        <v>213</v>
      </c>
      <c r="C58" s="3" t="s">
        <v>8</v>
      </c>
      <c r="D58" s="3" t="s">
        <v>156</v>
      </c>
      <c r="E58" s="3" t="s">
        <v>157</v>
      </c>
      <c r="F58" s="3" t="s">
        <v>11</v>
      </c>
      <c r="G58" s="3" t="s">
        <v>12</v>
      </c>
    </row>
    <row r="59" spans="1:7" x14ac:dyDescent="0.25">
      <c r="A59" s="3" t="s">
        <v>158</v>
      </c>
      <c r="B59" s="3" t="s">
        <v>213</v>
      </c>
      <c r="C59" s="3" t="s">
        <v>8</v>
      </c>
      <c r="D59" s="3" t="s">
        <v>159</v>
      </c>
      <c r="E59" s="3" t="s">
        <v>160</v>
      </c>
      <c r="F59" s="3" t="s">
        <v>11</v>
      </c>
      <c r="G59" s="3" t="s">
        <v>12</v>
      </c>
    </row>
    <row r="60" spans="1:7" ht="30" x14ac:dyDescent="0.25">
      <c r="A60" s="3" t="s">
        <v>161</v>
      </c>
      <c r="B60" s="3" t="s">
        <v>213</v>
      </c>
      <c r="C60" s="3" t="s">
        <v>8</v>
      </c>
      <c r="D60" s="3" t="s">
        <v>162</v>
      </c>
      <c r="E60" s="3" t="s">
        <v>163</v>
      </c>
      <c r="F60" s="3" t="s">
        <v>11</v>
      </c>
      <c r="G60" s="3" t="s">
        <v>12</v>
      </c>
    </row>
    <row r="61" spans="1:7" x14ac:dyDescent="0.25">
      <c r="A61" s="3" t="s">
        <v>164</v>
      </c>
      <c r="B61" s="3" t="s">
        <v>213</v>
      </c>
      <c r="C61" s="3" t="s">
        <v>28</v>
      </c>
      <c r="D61" s="3" t="s">
        <v>165</v>
      </c>
      <c r="E61" s="3" t="s">
        <v>166</v>
      </c>
      <c r="F61" s="3" t="s">
        <v>11</v>
      </c>
      <c r="G61" s="3" t="s">
        <v>12</v>
      </c>
    </row>
    <row r="62" spans="1:7" x14ac:dyDescent="0.25">
      <c r="A62" s="3" t="s">
        <v>167</v>
      </c>
      <c r="B62" s="3" t="s">
        <v>213</v>
      </c>
      <c r="C62" s="3" t="s">
        <v>28</v>
      </c>
      <c r="D62" s="3" t="s">
        <v>168</v>
      </c>
      <c r="E62" s="3" t="s">
        <v>169</v>
      </c>
      <c r="F62" s="3" t="s">
        <v>11</v>
      </c>
      <c r="G62" s="3" t="s">
        <v>12</v>
      </c>
    </row>
    <row r="63" spans="1:7" x14ac:dyDescent="0.25">
      <c r="A63" s="3" t="s">
        <v>170</v>
      </c>
      <c r="B63" s="3" t="s">
        <v>214</v>
      </c>
      <c r="C63" s="3" t="s">
        <v>8</v>
      </c>
      <c r="D63" s="3" t="s">
        <v>171</v>
      </c>
      <c r="E63" s="3" t="s">
        <v>172</v>
      </c>
      <c r="F63" s="3" t="s">
        <v>11</v>
      </c>
      <c r="G63" s="3" t="s">
        <v>12</v>
      </c>
    </row>
    <row r="64" spans="1:7" x14ac:dyDescent="0.25">
      <c r="A64" s="3" t="s">
        <v>173</v>
      </c>
      <c r="B64" s="3" t="s">
        <v>214</v>
      </c>
      <c r="C64" s="3" t="s">
        <v>8</v>
      </c>
      <c r="D64" s="3" t="s">
        <v>174</v>
      </c>
      <c r="E64" s="3" t="s">
        <v>175</v>
      </c>
      <c r="F64" s="3" t="s">
        <v>11</v>
      </c>
      <c r="G64" s="3" t="s">
        <v>12</v>
      </c>
    </row>
    <row r="65" spans="1:7" x14ac:dyDescent="0.25">
      <c r="A65" s="3" t="s">
        <v>176</v>
      </c>
      <c r="B65" s="3" t="s">
        <v>214</v>
      </c>
      <c r="C65" s="3" t="s">
        <v>8</v>
      </c>
      <c r="D65" s="3" t="s">
        <v>177</v>
      </c>
      <c r="E65" s="3" t="s">
        <v>178</v>
      </c>
      <c r="F65" s="3" t="s">
        <v>11</v>
      </c>
      <c r="G65" s="3" t="s">
        <v>12</v>
      </c>
    </row>
    <row r="66" spans="1:7" x14ac:dyDescent="0.25">
      <c r="A66" s="3" t="s">
        <v>179</v>
      </c>
      <c r="B66" s="3" t="s">
        <v>214</v>
      </c>
      <c r="C66" s="3" t="s">
        <v>28</v>
      </c>
      <c r="D66" s="3" t="s">
        <v>180</v>
      </c>
      <c r="E66" s="3" t="s">
        <v>181</v>
      </c>
      <c r="F66" s="3" t="s">
        <v>11</v>
      </c>
      <c r="G66" s="3" t="s">
        <v>12</v>
      </c>
    </row>
    <row r="67" spans="1:7" x14ac:dyDescent="0.25">
      <c r="A67" s="3" t="s">
        <v>182</v>
      </c>
      <c r="B67" s="3" t="s">
        <v>214</v>
      </c>
      <c r="C67" s="3" t="s">
        <v>28</v>
      </c>
      <c r="D67" s="3" t="s">
        <v>183</v>
      </c>
      <c r="E67" s="3" t="s">
        <v>184</v>
      </c>
      <c r="F67" s="3" t="s">
        <v>12</v>
      </c>
      <c r="G67" s="3" t="s">
        <v>11</v>
      </c>
    </row>
    <row r="68" spans="1:7" x14ac:dyDescent="0.25">
      <c r="A68" s="3" t="s">
        <v>185</v>
      </c>
      <c r="B68" s="3" t="s">
        <v>214</v>
      </c>
      <c r="C68" s="3" t="s">
        <v>28</v>
      </c>
      <c r="D68" s="3" t="s">
        <v>186</v>
      </c>
      <c r="E68" s="3" t="s">
        <v>187</v>
      </c>
      <c r="F68" s="3" t="s">
        <v>11</v>
      </c>
      <c r="G68" s="3" t="s">
        <v>12</v>
      </c>
    </row>
    <row r="69" spans="1:7" x14ac:dyDescent="0.25">
      <c r="A69" s="3" t="s">
        <v>188</v>
      </c>
      <c r="B69" s="3" t="s">
        <v>215</v>
      </c>
      <c r="C69" s="3" t="s">
        <v>8</v>
      </c>
      <c r="D69" s="3" t="s">
        <v>189</v>
      </c>
      <c r="E69" s="3" t="s">
        <v>190</v>
      </c>
      <c r="F69" s="3" t="s">
        <v>12</v>
      </c>
      <c r="G69" s="3" t="s">
        <v>11</v>
      </c>
    </row>
    <row r="70" spans="1:7" x14ac:dyDescent="0.25">
      <c r="A70" s="3" t="s">
        <v>191</v>
      </c>
      <c r="B70" s="3" t="s">
        <v>215</v>
      </c>
      <c r="C70" s="3" t="s">
        <v>8</v>
      </c>
      <c r="D70" s="3" t="s">
        <v>192</v>
      </c>
      <c r="E70" s="3" t="s">
        <v>193</v>
      </c>
      <c r="F70" s="3" t="s">
        <v>12</v>
      </c>
      <c r="G70" s="3" t="s">
        <v>11</v>
      </c>
    </row>
    <row r="71" spans="1:7" x14ac:dyDescent="0.25">
      <c r="A71" s="3" t="s">
        <v>194</v>
      </c>
      <c r="B71" s="3" t="s">
        <v>215</v>
      </c>
      <c r="C71" s="3" t="s">
        <v>8</v>
      </c>
      <c r="D71" s="3" t="s">
        <v>195</v>
      </c>
      <c r="E71" s="3" t="s">
        <v>196</v>
      </c>
      <c r="F71" s="3" t="s">
        <v>12</v>
      </c>
      <c r="G71" s="3" t="s">
        <v>11</v>
      </c>
    </row>
    <row r="72" spans="1:7" x14ac:dyDescent="0.25">
      <c r="A72" s="3" t="s">
        <v>197</v>
      </c>
      <c r="B72" s="3" t="s">
        <v>215</v>
      </c>
      <c r="C72" s="3" t="s">
        <v>28</v>
      </c>
      <c r="D72" s="3" t="s">
        <v>198</v>
      </c>
      <c r="E72" s="3" t="s">
        <v>199</v>
      </c>
      <c r="F72" s="3" t="s">
        <v>11</v>
      </c>
      <c r="G72" s="3" t="s">
        <v>12</v>
      </c>
    </row>
    <row r="73" spans="1:7" x14ac:dyDescent="0.25">
      <c r="A73" s="3" t="s">
        <v>200</v>
      </c>
      <c r="B73" s="3" t="s">
        <v>215</v>
      </c>
      <c r="C73" s="3" t="s">
        <v>28</v>
      </c>
      <c r="D73" s="3" t="s">
        <v>201</v>
      </c>
      <c r="E73" s="3" t="s">
        <v>202</v>
      </c>
      <c r="F73" s="3" t="s">
        <v>11</v>
      </c>
      <c r="G73" s="3" t="s">
        <v>12</v>
      </c>
    </row>
    <row r="74" spans="1:7" x14ac:dyDescent="0.25">
      <c r="A74" s="3" t="s">
        <v>203</v>
      </c>
      <c r="B74" s="3" t="s">
        <v>215</v>
      </c>
      <c r="C74" s="3" t="s">
        <v>28</v>
      </c>
      <c r="D74" s="3" t="s">
        <v>204</v>
      </c>
      <c r="E74" s="3" t="s">
        <v>205</v>
      </c>
      <c r="F74" s="3" t="s">
        <v>11</v>
      </c>
      <c r="G74" s="3" t="s">
        <v>12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3631-15FA-41E2-A947-743D7F737ADB}">
  <dimension ref="A1:E10"/>
  <sheetViews>
    <sheetView workbookViewId="0">
      <selection activeCell="E26" sqref="E26"/>
    </sheetView>
  </sheetViews>
  <sheetFormatPr baseColWidth="10" defaultRowHeight="15" x14ac:dyDescent="0.25"/>
  <cols>
    <col min="1" max="1" width="5.7109375" bestFit="1" customWidth="1"/>
    <col min="2" max="2" width="8.42578125" bestFit="1" customWidth="1"/>
    <col min="4" max="4" width="18.7109375" bestFit="1" customWidth="1"/>
  </cols>
  <sheetData>
    <row r="1" spans="1:5" x14ac:dyDescent="0.25">
      <c r="A1" s="4" t="s">
        <v>206</v>
      </c>
      <c r="B1" s="4" t="s">
        <v>224</v>
      </c>
      <c r="D1" s="5" t="s">
        <v>225</v>
      </c>
    </row>
    <row r="2" spans="1:5" x14ac:dyDescent="0.25">
      <c r="A2" s="3" t="s">
        <v>207</v>
      </c>
      <c r="B2" s="3">
        <v>1.2</v>
      </c>
      <c r="D2" t="s">
        <v>226</v>
      </c>
      <c r="E2">
        <v>0</v>
      </c>
    </row>
    <row r="3" spans="1:5" x14ac:dyDescent="0.25">
      <c r="A3" s="3" t="s">
        <v>208</v>
      </c>
      <c r="B3" s="3">
        <v>1.5</v>
      </c>
      <c r="D3" t="s">
        <v>227</v>
      </c>
      <c r="E3">
        <v>1</v>
      </c>
    </row>
    <row r="4" spans="1:5" x14ac:dyDescent="0.25">
      <c r="A4" s="3" t="s">
        <v>209</v>
      </c>
      <c r="B4" s="3">
        <v>1.5</v>
      </c>
      <c r="D4" t="s">
        <v>228</v>
      </c>
      <c r="E4">
        <v>2</v>
      </c>
    </row>
    <row r="5" spans="1:5" x14ac:dyDescent="0.25">
      <c r="A5" s="3" t="s">
        <v>210</v>
      </c>
      <c r="B5" s="3">
        <v>1.3</v>
      </c>
      <c r="D5" t="s">
        <v>229</v>
      </c>
      <c r="E5">
        <v>3</v>
      </c>
    </row>
    <row r="6" spans="1:5" x14ac:dyDescent="0.25">
      <c r="A6" s="3" t="s">
        <v>211</v>
      </c>
      <c r="B6" s="3">
        <v>1</v>
      </c>
      <c r="D6" t="s">
        <v>230</v>
      </c>
      <c r="E6">
        <v>4</v>
      </c>
    </row>
    <row r="7" spans="1:5" x14ac:dyDescent="0.25">
      <c r="A7" s="3" t="s">
        <v>212</v>
      </c>
      <c r="B7" s="3">
        <v>1.2</v>
      </c>
    </row>
    <row r="8" spans="1:5" x14ac:dyDescent="0.25">
      <c r="A8" s="3" t="s">
        <v>213</v>
      </c>
      <c r="B8" s="3">
        <v>1.1000000000000001</v>
      </c>
    </row>
    <row r="9" spans="1:5" x14ac:dyDescent="0.25">
      <c r="A9" s="3" t="s">
        <v>214</v>
      </c>
      <c r="B9" s="3">
        <v>1</v>
      </c>
    </row>
    <row r="10" spans="1:5" x14ac:dyDescent="0.25">
      <c r="A10" s="3" t="s">
        <v>215</v>
      </c>
      <c r="B10" s="3">
        <v>1.4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0C19-CF27-49DC-8218-B2C9FCD3C19B}">
  <dimension ref="A1:L74"/>
  <sheetViews>
    <sheetView workbookViewId="0">
      <selection activeCell="M2" sqref="M2"/>
    </sheetView>
  </sheetViews>
  <sheetFormatPr baseColWidth="10" defaultRowHeight="15" x14ac:dyDescent="0.25"/>
  <cols>
    <col min="1" max="1" width="8.42578125" bestFit="1" customWidth="1"/>
    <col min="2" max="2" width="5.7109375" bestFit="1" customWidth="1"/>
    <col min="3" max="3" width="15.140625" bestFit="1" customWidth="1"/>
    <col min="4" max="4" width="12.85546875" bestFit="1" customWidth="1"/>
    <col min="5" max="5" width="17.7109375" bestFit="1" customWidth="1"/>
    <col min="6" max="6" width="8.140625" bestFit="1" customWidth="1"/>
    <col min="7" max="7" width="14" bestFit="1" customWidth="1"/>
    <col min="8" max="8" width="16.140625" bestFit="1" customWidth="1"/>
    <col min="11" max="11" width="7" bestFit="1" customWidth="1"/>
    <col min="12" max="12" width="7.5703125" bestFit="1" customWidth="1"/>
  </cols>
  <sheetData>
    <row r="1" spans="1:12" ht="30" x14ac:dyDescent="0.25">
      <c r="A1" s="1" t="s">
        <v>0</v>
      </c>
      <c r="B1" s="1" t="s">
        <v>206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225</v>
      </c>
      <c r="J1" s="6" t="s">
        <v>231</v>
      </c>
      <c r="K1" s="6" t="s">
        <v>232</v>
      </c>
      <c r="L1" s="6" t="s">
        <v>233</v>
      </c>
    </row>
    <row r="2" spans="1:12" x14ac:dyDescent="0.25">
      <c r="A2" t="str">
        <f>'Fragen Komplett'!A2</f>
        <v>F-BP-001</v>
      </c>
      <c r="B2" t="str">
        <f>'Fragen Komplett'!B2</f>
        <v>A</v>
      </c>
      <c r="C2">
        <f>IF('Fragen Komplett'!F2="Ja",3,0)</f>
        <v>0</v>
      </c>
      <c r="D2">
        <f>IF('Fragen Komplett'!G2="Ja",3,0)</f>
        <v>3</v>
      </c>
      <c r="E2">
        <f>IF('Fragen Komplett'!H2="Ja",3,0)</f>
        <v>3</v>
      </c>
      <c r="F2">
        <f>IF('KO Liste'!F2="Ja",2,IF('KO Liste'!G2="Ja",1,0))</f>
        <v>2</v>
      </c>
      <c r="G2">
        <f>_xlfn.XLOOKUP(B2,'Block Gewichte'!$A:$A,'Block Gewichte'!$B:$B,1)</f>
        <v>1.2</v>
      </c>
      <c r="H2" s="9">
        <f>_xlfn.LET(_xlpm.basis,(C2+D2+E2)/3,_xlpm.ko,IF(F2=2,1.75,IF(F2=1,1.25,1)),_xlpm.basis*G2*_xlpm.ko)</f>
        <v>4.2</v>
      </c>
      <c r="I2">
        <v>0</v>
      </c>
      <c r="J2" s="7">
        <f>(4-I2)/4</f>
        <v>1</v>
      </c>
      <c r="K2" s="8">
        <f>H2*(C2+D2+E2)</f>
        <v>25.200000000000003</v>
      </c>
      <c r="L2" s="8">
        <f>K2*J2*F2</f>
        <v>50.400000000000006</v>
      </c>
    </row>
    <row r="3" spans="1:12" x14ac:dyDescent="0.25">
      <c r="A3" t="str">
        <f>'Fragen Komplett'!A3</f>
        <v>F-BP-002</v>
      </c>
      <c r="B3" t="str">
        <f>'Fragen Komplett'!B3</f>
        <v>A</v>
      </c>
      <c r="C3">
        <f>IF('Fragen Komplett'!F3="Ja",3,0)</f>
        <v>0</v>
      </c>
      <c r="D3">
        <f>IF('Fragen Komplett'!G3="Ja",3,0)</f>
        <v>0</v>
      </c>
      <c r="E3">
        <f>IF('Fragen Komplett'!H3="Ja",3,0)</f>
        <v>0</v>
      </c>
      <c r="F3">
        <f>IF('KO Liste'!F3="Ja",2,IF('KO Liste'!G3="Ja",1,0))</f>
        <v>1</v>
      </c>
      <c r="G3">
        <f>_xlfn.XLOOKUP(B3,'Block Gewichte'!$A:$A,'Block Gewichte'!$B:$B,1)</f>
        <v>1.2</v>
      </c>
      <c r="H3" s="9">
        <f>_xlfn.LET(_xlpm.basis,(C3+D3+E3)/3,_xlpm.ko,IF(F3=2,1.75,IF(F3=1,1.25,1)),_xlpm.basis*G3*_xlpm.ko)</f>
        <v>0</v>
      </c>
      <c r="I3">
        <v>0</v>
      </c>
      <c r="J3" s="7">
        <f t="shared" ref="J3:J66" si="0">(4-I3)/4</f>
        <v>1</v>
      </c>
      <c r="K3" s="8">
        <f>H3*(C3+D3+E3)</f>
        <v>0</v>
      </c>
      <c r="L3" s="8">
        <f>K3*J3*F3</f>
        <v>0</v>
      </c>
    </row>
    <row r="4" spans="1:12" x14ac:dyDescent="0.25">
      <c r="A4" t="str">
        <f>'Fragen Komplett'!A4</f>
        <v>F-BP-003</v>
      </c>
      <c r="B4" t="str">
        <f>'Fragen Komplett'!B4</f>
        <v>A</v>
      </c>
      <c r="C4">
        <f>IF('Fragen Komplett'!F4="Ja",3,0)</f>
        <v>3</v>
      </c>
      <c r="D4">
        <f>IF('Fragen Komplett'!G4="Ja",3,0)</f>
        <v>0</v>
      </c>
      <c r="E4">
        <f>IF('Fragen Komplett'!H4="Ja",3,0)</f>
        <v>0</v>
      </c>
      <c r="F4">
        <f>IF('KO Liste'!F4="Ja",2,IF('KO Liste'!G4="Ja",1,0))</f>
        <v>1</v>
      </c>
      <c r="G4">
        <f>_xlfn.XLOOKUP(B4,'Block Gewichte'!$A:$A,'Block Gewichte'!$B:$B,1)</f>
        <v>1.2</v>
      </c>
      <c r="H4" s="9">
        <f>_xlfn.LET(_xlpm.basis,(C4+D4+E4)/3,_xlpm.ko,IF(F4=2,1.75,IF(F4=1,1.25,1)),_xlpm.basis*G4*_xlpm.ko)</f>
        <v>1.5</v>
      </c>
      <c r="I4">
        <v>0</v>
      </c>
      <c r="J4" s="7">
        <f t="shared" si="0"/>
        <v>1</v>
      </c>
      <c r="K4" s="8">
        <f>H4*(C4+D4+E4)</f>
        <v>4.5</v>
      </c>
      <c r="L4" s="8">
        <f>K4*J4*F4</f>
        <v>4.5</v>
      </c>
    </row>
    <row r="5" spans="1:12" x14ac:dyDescent="0.25">
      <c r="A5" t="str">
        <f>'Fragen Komplett'!A5</f>
        <v>F-BP-004</v>
      </c>
      <c r="B5" t="str">
        <f>'Fragen Komplett'!B5</f>
        <v>A</v>
      </c>
      <c r="C5">
        <f>IF('Fragen Komplett'!F5="Ja",3,0)</f>
        <v>0</v>
      </c>
      <c r="D5">
        <f>IF('Fragen Komplett'!G5="Ja",3,0)</f>
        <v>3</v>
      </c>
      <c r="E5">
        <f>IF('Fragen Komplett'!H5="Ja",3,0)</f>
        <v>3</v>
      </c>
      <c r="F5">
        <f>IF('KO Liste'!F5="Ja",2,IF('KO Liste'!G5="Ja",1,0))</f>
        <v>2</v>
      </c>
      <c r="G5">
        <f>_xlfn.XLOOKUP(B5,'Block Gewichte'!$A:$A,'Block Gewichte'!$B:$B,1)</f>
        <v>1.2</v>
      </c>
      <c r="H5" s="9">
        <f>_xlfn.LET(_xlpm.basis,(C5+D5+E5)/3,_xlpm.ko,IF(F5=2,1.75,IF(F5=1,1.25,1)),_xlpm.basis*G5*_xlpm.ko)</f>
        <v>4.2</v>
      </c>
      <c r="I5">
        <v>0</v>
      </c>
      <c r="J5" s="7">
        <f t="shared" si="0"/>
        <v>1</v>
      </c>
      <c r="K5" s="8">
        <f>H5*(C5+D5+E5)</f>
        <v>25.200000000000003</v>
      </c>
      <c r="L5" s="8">
        <f>K5*J5*F5</f>
        <v>50.400000000000006</v>
      </c>
    </row>
    <row r="6" spans="1:12" x14ac:dyDescent="0.25">
      <c r="A6" t="str">
        <f>'Fragen Komplett'!A6</f>
        <v>F-BP-005</v>
      </c>
      <c r="B6" t="str">
        <f>'Fragen Komplett'!B6</f>
        <v>A</v>
      </c>
      <c r="C6">
        <f>IF('Fragen Komplett'!F6="Ja",3,0)</f>
        <v>3</v>
      </c>
      <c r="D6">
        <f>IF('Fragen Komplett'!G6="Ja",3,0)</f>
        <v>0</v>
      </c>
      <c r="E6">
        <f>IF('Fragen Komplett'!H6="Ja",3,0)</f>
        <v>3</v>
      </c>
      <c r="F6">
        <f>IF('KO Liste'!F6="Ja",2,IF('KO Liste'!G6="Ja",1,0))</f>
        <v>1</v>
      </c>
      <c r="G6">
        <f>_xlfn.XLOOKUP(B6,'Block Gewichte'!$A:$A,'Block Gewichte'!$B:$B,1)</f>
        <v>1.2</v>
      </c>
      <c r="H6" s="9">
        <f>_xlfn.LET(_xlpm.basis,(C6+D6+E6)/3,_xlpm.ko,IF(F6=2,1.75,IF(F6=1,1.25,1)),_xlpm.basis*G6*_xlpm.ko)</f>
        <v>3</v>
      </c>
      <c r="I6">
        <v>0</v>
      </c>
      <c r="J6" s="7">
        <f t="shared" si="0"/>
        <v>1</v>
      </c>
      <c r="K6" s="8">
        <f>H6*(C6+D6+E6)</f>
        <v>18</v>
      </c>
      <c r="L6" s="8">
        <f>K6*J6*F6</f>
        <v>18</v>
      </c>
    </row>
    <row r="7" spans="1:12" x14ac:dyDescent="0.25">
      <c r="A7" t="str">
        <f>'Fragen Komplett'!A7</f>
        <v>F-BP-006</v>
      </c>
      <c r="B7" t="str">
        <f>'Fragen Komplett'!B7</f>
        <v>A</v>
      </c>
      <c r="C7">
        <f>IF('Fragen Komplett'!F7="Ja",3,0)</f>
        <v>0</v>
      </c>
      <c r="D7">
        <f>IF('Fragen Komplett'!G7="Ja",3,0)</f>
        <v>3</v>
      </c>
      <c r="E7">
        <f>IF('Fragen Komplett'!H7="Ja",3,0)</f>
        <v>3</v>
      </c>
      <c r="F7">
        <f>IF('KO Liste'!F7="Ja",2,IF('KO Liste'!G7="Ja",1,0))</f>
        <v>2</v>
      </c>
      <c r="G7">
        <f>_xlfn.XLOOKUP(B7,'Block Gewichte'!$A:$A,'Block Gewichte'!$B:$B,1)</f>
        <v>1.2</v>
      </c>
      <c r="H7" s="9">
        <f>_xlfn.LET(_xlpm.basis,(C7+D7+E7)/3,_xlpm.ko,IF(F7=2,1.75,IF(F7=1,1.25,1)),_xlpm.basis*G7*_xlpm.ko)</f>
        <v>4.2</v>
      </c>
      <c r="J7" s="7">
        <f t="shared" si="0"/>
        <v>1</v>
      </c>
      <c r="K7" s="8">
        <f>H7*(C7+D7+E7)</f>
        <v>25.200000000000003</v>
      </c>
      <c r="L7" s="8">
        <f>K7*J7*F7</f>
        <v>50.400000000000006</v>
      </c>
    </row>
    <row r="8" spans="1:12" x14ac:dyDescent="0.25">
      <c r="A8" t="str">
        <f>'Fragen Komplett'!A8</f>
        <v>F-BP-007</v>
      </c>
      <c r="B8" t="str">
        <f>'Fragen Komplett'!B8</f>
        <v>A</v>
      </c>
      <c r="C8">
        <f>IF('Fragen Komplett'!F8="Ja",3,0)</f>
        <v>0</v>
      </c>
      <c r="D8">
        <f>IF('Fragen Komplett'!G8="Ja",3,0)</f>
        <v>0</v>
      </c>
      <c r="E8">
        <f>IF('Fragen Komplett'!H8="Ja",3,0)</f>
        <v>3</v>
      </c>
      <c r="F8">
        <f>IF('KO Liste'!F8="Ja",2,IF('KO Liste'!G8="Ja",1,0))</f>
        <v>1</v>
      </c>
      <c r="G8">
        <f>_xlfn.XLOOKUP(B8,'Block Gewichte'!$A:$A,'Block Gewichte'!$B:$B,1)</f>
        <v>1.2</v>
      </c>
      <c r="H8" s="9">
        <f>_xlfn.LET(_xlpm.basis,(C8+D8+E8)/3,_xlpm.ko,IF(F8=2,1.75,IF(F8=1,1.25,1)),_xlpm.basis*G8*_xlpm.ko)</f>
        <v>1.5</v>
      </c>
      <c r="J8" s="7">
        <f t="shared" si="0"/>
        <v>1</v>
      </c>
      <c r="K8" s="8">
        <f>H8*(C8+D8+E8)</f>
        <v>4.5</v>
      </c>
      <c r="L8" s="8">
        <f>K8*J8*F8</f>
        <v>4.5</v>
      </c>
    </row>
    <row r="9" spans="1:12" x14ac:dyDescent="0.25">
      <c r="A9" t="str">
        <f>'Fragen Komplett'!A9</f>
        <v>F-BP-008</v>
      </c>
      <c r="B9" t="str">
        <f>'Fragen Komplett'!B9</f>
        <v>A</v>
      </c>
      <c r="C9">
        <f>IF('Fragen Komplett'!F9="Ja",3,0)</f>
        <v>0</v>
      </c>
      <c r="D9">
        <f>IF('Fragen Komplett'!G9="Ja",3,0)</f>
        <v>0</v>
      </c>
      <c r="E9">
        <f>IF('Fragen Komplett'!H9="Ja",3,0)</f>
        <v>0</v>
      </c>
      <c r="F9">
        <f>IF('KO Liste'!F9="Ja",2,IF('KO Liste'!G9="Ja",1,0))</f>
        <v>1</v>
      </c>
      <c r="G9">
        <f>_xlfn.XLOOKUP(B9,'Block Gewichte'!$A:$A,'Block Gewichte'!$B:$B,1)</f>
        <v>1.2</v>
      </c>
      <c r="H9" s="9">
        <f>_xlfn.LET(_xlpm.basis,(C9+D9+E9)/3,_xlpm.ko,IF(F9=2,1.75,IF(F9=1,1.25,1)),_xlpm.basis*G9*_xlpm.ko)</f>
        <v>0</v>
      </c>
      <c r="J9" s="7">
        <f t="shared" si="0"/>
        <v>1</v>
      </c>
      <c r="K9" s="8">
        <f>H9*(C9+D9+E9)</f>
        <v>0</v>
      </c>
      <c r="L9" s="8">
        <f>K9*J9*F9</f>
        <v>0</v>
      </c>
    </row>
    <row r="10" spans="1:12" x14ac:dyDescent="0.25">
      <c r="A10" t="str">
        <f>'Fragen Komplett'!A10</f>
        <v>F-BP-011</v>
      </c>
      <c r="B10" t="str">
        <f>'Fragen Komplett'!B10</f>
        <v>A</v>
      </c>
      <c r="C10">
        <f>IF('Fragen Komplett'!F10="Ja",3,0)</f>
        <v>3</v>
      </c>
      <c r="D10">
        <f>IF('Fragen Komplett'!G10="Ja",3,0)</f>
        <v>0</v>
      </c>
      <c r="E10">
        <f>IF('Fragen Komplett'!H10="Ja",3,0)</f>
        <v>3</v>
      </c>
      <c r="F10">
        <f>IF('KO Liste'!F10="Ja",2,IF('KO Liste'!G10="Ja",1,0))</f>
        <v>1</v>
      </c>
      <c r="G10">
        <f>_xlfn.XLOOKUP(B10,'Block Gewichte'!$A:$A,'Block Gewichte'!$B:$B,1)</f>
        <v>1.2</v>
      </c>
      <c r="H10" s="9">
        <f>_xlfn.LET(_xlpm.basis,(C10+D10+E10)/3,_xlpm.ko,IF(F10=2,1.75,IF(F10=1,1.25,1)),_xlpm.basis*G10*_xlpm.ko)</f>
        <v>3</v>
      </c>
      <c r="J10" s="7">
        <f t="shared" si="0"/>
        <v>1</v>
      </c>
      <c r="K10" s="8">
        <f>H10*(C10+D10+E10)</f>
        <v>18</v>
      </c>
      <c r="L10" s="8">
        <f>K10*J10*F10</f>
        <v>18</v>
      </c>
    </row>
    <row r="11" spans="1:12" x14ac:dyDescent="0.25">
      <c r="A11" t="str">
        <f>'Fragen Komplett'!A11</f>
        <v>F-BP-012</v>
      </c>
      <c r="B11" t="str">
        <f>'Fragen Komplett'!B11</f>
        <v>A</v>
      </c>
      <c r="C11">
        <f>IF('Fragen Komplett'!F11="Ja",3,0)</f>
        <v>3</v>
      </c>
      <c r="D11">
        <f>IF('Fragen Komplett'!G11="Ja",3,0)</f>
        <v>0</v>
      </c>
      <c r="E11">
        <f>IF('Fragen Komplett'!H11="Ja",3,0)</f>
        <v>3</v>
      </c>
      <c r="F11">
        <f>IF('KO Liste'!F11="Ja",2,IF('KO Liste'!G11="Ja",1,0))</f>
        <v>1</v>
      </c>
      <c r="G11">
        <f>_xlfn.XLOOKUP(B11,'Block Gewichte'!$A:$A,'Block Gewichte'!$B:$B,1)</f>
        <v>1.2</v>
      </c>
      <c r="H11" s="9">
        <f t="shared" ref="H11:H74" si="1">_xlfn.LET(_xlpm.basis,(C11+D11+E11)/3,_xlpm.ko,IF(F11=2,1.75,IF(F11=1,1.25,1)),_xlpm.basis*G11*_xlpm.ko)</f>
        <v>3</v>
      </c>
      <c r="J11" s="7">
        <f t="shared" si="0"/>
        <v>1</v>
      </c>
      <c r="K11" s="8">
        <f t="shared" ref="K11:K74" si="2">H11*(C11+D11+E11)</f>
        <v>18</v>
      </c>
      <c r="L11" s="8">
        <f t="shared" ref="L11:L74" si="3">K11*J11*F11</f>
        <v>18</v>
      </c>
    </row>
    <row r="12" spans="1:12" x14ac:dyDescent="0.25">
      <c r="A12" t="str">
        <f>'Fragen Komplett'!A12</f>
        <v>F-BP-015</v>
      </c>
      <c r="B12" t="str">
        <f>'Fragen Komplett'!B12</f>
        <v>B</v>
      </c>
      <c r="C12">
        <f>IF('Fragen Komplett'!F12="Ja",3,0)</f>
        <v>3</v>
      </c>
      <c r="D12">
        <f>IF('Fragen Komplett'!G12="Ja",3,0)</f>
        <v>0</v>
      </c>
      <c r="E12">
        <f>IF('Fragen Komplett'!H12="Ja",3,0)</f>
        <v>3</v>
      </c>
      <c r="F12">
        <f>IF('KO Liste'!F12="Ja",2,IF('KO Liste'!G12="Ja",1,0))</f>
        <v>1</v>
      </c>
      <c r="G12">
        <f>_xlfn.XLOOKUP(B12,'Block Gewichte'!$A:$A,'Block Gewichte'!$B:$B,1)</f>
        <v>1.5</v>
      </c>
      <c r="H12" s="9">
        <f t="shared" si="1"/>
        <v>3.75</v>
      </c>
      <c r="J12" s="7">
        <f t="shared" si="0"/>
        <v>1</v>
      </c>
      <c r="K12" s="8">
        <f t="shared" si="2"/>
        <v>22.5</v>
      </c>
      <c r="L12" s="8">
        <f t="shared" si="3"/>
        <v>22.5</v>
      </c>
    </row>
    <row r="13" spans="1:12" x14ac:dyDescent="0.25">
      <c r="A13" t="str">
        <f>'Fragen Komplett'!A13</f>
        <v>F-BP-016</v>
      </c>
      <c r="B13" t="str">
        <f>'Fragen Komplett'!B13</f>
        <v>B</v>
      </c>
      <c r="C13">
        <f>IF('Fragen Komplett'!F13="Ja",3,0)</f>
        <v>3</v>
      </c>
      <c r="D13">
        <f>IF('Fragen Komplett'!G13="Ja",3,0)</f>
        <v>0</v>
      </c>
      <c r="E13">
        <f>IF('Fragen Komplett'!H13="Ja",3,0)</f>
        <v>3</v>
      </c>
      <c r="F13">
        <f>IF('KO Liste'!F13="Ja",2,IF('KO Liste'!G13="Ja",1,0))</f>
        <v>1</v>
      </c>
      <c r="G13">
        <f>_xlfn.XLOOKUP(B13,'Block Gewichte'!$A:$A,'Block Gewichte'!$B:$B,1)</f>
        <v>1.5</v>
      </c>
      <c r="H13" s="9">
        <f t="shared" si="1"/>
        <v>3.75</v>
      </c>
      <c r="J13" s="7">
        <f t="shared" si="0"/>
        <v>1</v>
      </c>
      <c r="K13" s="8">
        <f t="shared" si="2"/>
        <v>22.5</v>
      </c>
      <c r="L13" s="8">
        <f t="shared" si="3"/>
        <v>22.5</v>
      </c>
    </row>
    <row r="14" spans="1:12" x14ac:dyDescent="0.25">
      <c r="A14" t="str">
        <f>'Fragen Komplett'!A14</f>
        <v>F-BP-017</v>
      </c>
      <c r="B14" t="str">
        <f>'Fragen Komplett'!B14</f>
        <v>B</v>
      </c>
      <c r="C14">
        <f>IF('Fragen Komplett'!F14="Ja",3,0)</f>
        <v>3</v>
      </c>
      <c r="D14">
        <f>IF('Fragen Komplett'!G14="Ja",3,0)</f>
        <v>0</v>
      </c>
      <c r="E14">
        <f>IF('Fragen Komplett'!H14="Ja",3,0)</f>
        <v>3</v>
      </c>
      <c r="F14">
        <f>IF('KO Liste'!F14="Ja",2,IF('KO Liste'!G14="Ja",1,0))</f>
        <v>1</v>
      </c>
      <c r="G14">
        <f>_xlfn.XLOOKUP(B14,'Block Gewichte'!$A:$A,'Block Gewichte'!$B:$B,1)</f>
        <v>1.5</v>
      </c>
      <c r="H14" s="9">
        <f t="shared" si="1"/>
        <v>3.75</v>
      </c>
      <c r="J14" s="7">
        <f t="shared" si="0"/>
        <v>1</v>
      </c>
      <c r="K14" s="8">
        <f t="shared" si="2"/>
        <v>22.5</v>
      </c>
      <c r="L14" s="8">
        <f t="shared" si="3"/>
        <v>22.5</v>
      </c>
    </row>
    <row r="15" spans="1:12" x14ac:dyDescent="0.25">
      <c r="A15" t="str">
        <f>'Fragen Komplett'!A15</f>
        <v>F-BP-018</v>
      </c>
      <c r="B15" t="str">
        <f>'Fragen Komplett'!B15</f>
        <v>B</v>
      </c>
      <c r="C15">
        <f>IF('Fragen Komplett'!F15="Ja",3,0)</f>
        <v>3</v>
      </c>
      <c r="D15">
        <f>IF('Fragen Komplett'!G15="Ja",3,0)</f>
        <v>0</v>
      </c>
      <c r="E15">
        <f>IF('Fragen Komplett'!H15="Ja",3,0)</f>
        <v>3</v>
      </c>
      <c r="F15">
        <f>IF('KO Liste'!F15="Ja",2,IF('KO Liste'!G15="Ja",1,0))</f>
        <v>1</v>
      </c>
      <c r="G15">
        <f>_xlfn.XLOOKUP(B15,'Block Gewichte'!$A:$A,'Block Gewichte'!$B:$B,1)</f>
        <v>1.5</v>
      </c>
      <c r="H15" s="9">
        <f t="shared" si="1"/>
        <v>3.75</v>
      </c>
      <c r="J15" s="7">
        <f t="shared" si="0"/>
        <v>1</v>
      </c>
      <c r="K15" s="8">
        <f t="shared" si="2"/>
        <v>22.5</v>
      </c>
      <c r="L15" s="8">
        <f t="shared" si="3"/>
        <v>22.5</v>
      </c>
    </row>
    <row r="16" spans="1:12" x14ac:dyDescent="0.25">
      <c r="A16" t="str">
        <f>'Fragen Komplett'!A16</f>
        <v>F-BP-019</v>
      </c>
      <c r="B16" t="str">
        <f>'Fragen Komplett'!B16</f>
        <v>B</v>
      </c>
      <c r="C16">
        <f>IF('Fragen Komplett'!F16="Ja",3,0)</f>
        <v>3</v>
      </c>
      <c r="D16">
        <f>IF('Fragen Komplett'!G16="Ja",3,0)</f>
        <v>0</v>
      </c>
      <c r="E16">
        <f>IF('Fragen Komplett'!H16="Ja",3,0)</f>
        <v>3</v>
      </c>
      <c r="F16">
        <f>IF('KO Liste'!F16="Ja",2,IF('KO Liste'!G16="Ja",1,0))</f>
        <v>1</v>
      </c>
      <c r="G16">
        <f>_xlfn.XLOOKUP(B16,'Block Gewichte'!$A:$A,'Block Gewichte'!$B:$B,1)</f>
        <v>1.5</v>
      </c>
      <c r="H16" s="9">
        <f t="shared" si="1"/>
        <v>3.75</v>
      </c>
      <c r="J16" s="7">
        <f t="shared" si="0"/>
        <v>1</v>
      </c>
      <c r="K16" s="8">
        <f t="shared" si="2"/>
        <v>22.5</v>
      </c>
      <c r="L16" s="8">
        <f t="shared" si="3"/>
        <v>22.5</v>
      </c>
    </row>
    <row r="17" spans="1:12" x14ac:dyDescent="0.25">
      <c r="A17" t="str">
        <f>'Fragen Komplett'!A17</f>
        <v>F-BP-020</v>
      </c>
      <c r="B17" t="str">
        <f>'Fragen Komplett'!B17</f>
        <v>B</v>
      </c>
      <c r="C17">
        <f>IF('Fragen Komplett'!F17="Ja",3,0)</f>
        <v>3</v>
      </c>
      <c r="D17">
        <f>IF('Fragen Komplett'!G17="Ja",3,0)</f>
        <v>3</v>
      </c>
      <c r="E17">
        <f>IF('Fragen Komplett'!H17="Ja",3,0)</f>
        <v>3</v>
      </c>
      <c r="F17">
        <f>IF('KO Liste'!F17="Ja",2,IF('KO Liste'!G17="Ja",1,0))</f>
        <v>2</v>
      </c>
      <c r="G17">
        <f>_xlfn.XLOOKUP(B17,'Block Gewichte'!$A:$A,'Block Gewichte'!$B:$B,1)</f>
        <v>1.5</v>
      </c>
      <c r="H17" s="9">
        <f t="shared" si="1"/>
        <v>7.875</v>
      </c>
      <c r="J17" s="7">
        <f t="shared" si="0"/>
        <v>1</v>
      </c>
      <c r="K17" s="8">
        <f t="shared" si="2"/>
        <v>70.875</v>
      </c>
      <c r="L17" s="8">
        <f t="shared" si="3"/>
        <v>141.75</v>
      </c>
    </row>
    <row r="18" spans="1:12" x14ac:dyDescent="0.25">
      <c r="A18" t="str">
        <f>'Fragen Komplett'!A18</f>
        <v>F-BP-021</v>
      </c>
      <c r="B18" t="str">
        <f>'Fragen Komplett'!B18</f>
        <v>B</v>
      </c>
      <c r="C18">
        <f>IF('Fragen Komplett'!F18="Ja",3,0)</f>
        <v>3</v>
      </c>
      <c r="D18">
        <f>IF('Fragen Komplett'!G18="Ja",3,0)</f>
        <v>0</v>
      </c>
      <c r="E18">
        <f>IF('Fragen Komplett'!H18="Ja",3,0)</f>
        <v>3</v>
      </c>
      <c r="F18">
        <f>IF('KO Liste'!F18="Ja",2,IF('KO Liste'!G18="Ja",1,0))</f>
        <v>1</v>
      </c>
      <c r="G18">
        <f>_xlfn.XLOOKUP(B18,'Block Gewichte'!$A:$A,'Block Gewichte'!$B:$B,1)</f>
        <v>1.5</v>
      </c>
      <c r="H18" s="9">
        <f t="shared" si="1"/>
        <v>3.75</v>
      </c>
      <c r="J18" s="7">
        <f t="shared" si="0"/>
        <v>1</v>
      </c>
      <c r="K18" s="8">
        <f t="shared" si="2"/>
        <v>22.5</v>
      </c>
      <c r="L18" s="8">
        <f t="shared" si="3"/>
        <v>22.5</v>
      </c>
    </row>
    <row r="19" spans="1:12" x14ac:dyDescent="0.25">
      <c r="A19" t="str">
        <f>'Fragen Komplett'!A19</f>
        <v>F-BP-022</v>
      </c>
      <c r="B19" t="str">
        <f>'Fragen Komplett'!B19</f>
        <v>B</v>
      </c>
      <c r="C19">
        <f>IF('Fragen Komplett'!F19="Ja",3,0)</f>
        <v>3</v>
      </c>
      <c r="D19">
        <f>IF('Fragen Komplett'!G19="Ja",3,0)</f>
        <v>0</v>
      </c>
      <c r="E19">
        <f>IF('Fragen Komplett'!H19="Ja",3,0)</f>
        <v>3</v>
      </c>
      <c r="F19">
        <f>IF('KO Liste'!F19="Ja",2,IF('KO Liste'!G19="Ja",1,0))</f>
        <v>1</v>
      </c>
      <c r="G19">
        <f>_xlfn.XLOOKUP(B19,'Block Gewichte'!$A:$A,'Block Gewichte'!$B:$B,1)</f>
        <v>1.5</v>
      </c>
      <c r="H19" s="9">
        <f t="shared" si="1"/>
        <v>3.75</v>
      </c>
      <c r="J19" s="7">
        <f t="shared" si="0"/>
        <v>1</v>
      </c>
      <c r="K19" s="8">
        <f t="shared" si="2"/>
        <v>22.5</v>
      </c>
      <c r="L19" s="8">
        <f t="shared" si="3"/>
        <v>22.5</v>
      </c>
    </row>
    <row r="20" spans="1:12" x14ac:dyDescent="0.25">
      <c r="A20" t="str">
        <f>'Fragen Komplett'!A20</f>
        <v>F-BP-023</v>
      </c>
      <c r="B20" t="str">
        <f>'Fragen Komplett'!B20</f>
        <v>B</v>
      </c>
      <c r="C20">
        <f>IF('Fragen Komplett'!F20="Ja",3,0)</f>
        <v>3</v>
      </c>
      <c r="D20">
        <f>IF('Fragen Komplett'!G20="Ja",3,0)</f>
        <v>0</v>
      </c>
      <c r="E20">
        <f>IF('Fragen Komplett'!H20="Ja",3,0)</f>
        <v>3</v>
      </c>
      <c r="F20">
        <f>IF('KO Liste'!F20="Ja",2,IF('KO Liste'!G20="Ja",1,0))</f>
        <v>1</v>
      </c>
      <c r="G20">
        <f>_xlfn.XLOOKUP(B20,'Block Gewichte'!$A:$A,'Block Gewichte'!$B:$B,1)</f>
        <v>1.5</v>
      </c>
      <c r="H20" s="9">
        <f t="shared" si="1"/>
        <v>3.75</v>
      </c>
      <c r="J20" s="7">
        <f t="shared" si="0"/>
        <v>1</v>
      </c>
      <c r="K20" s="8">
        <f t="shared" si="2"/>
        <v>22.5</v>
      </c>
      <c r="L20" s="8">
        <f t="shared" si="3"/>
        <v>22.5</v>
      </c>
    </row>
    <row r="21" spans="1:12" x14ac:dyDescent="0.25">
      <c r="A21" t="str">
        <f>'Fragen Komplett'!A21</f>
        <v>F-BP-025</v>
      </c>
      <c r="B21" t="str">
        <f>'Fragen Komplett'!B21</f>
        <v>B</v>
      </c>
      <c r="C21">
        <f>IF('Fragen Komplett'!F21="Ja",3,0)</f>
        <v>3</v>
      </c>
      <c r="D21">
        <f>IF('Fragen Komplett'!G21="Ja",3,0)</f>
        <v>3</v>
      </c>
      <c r="E21">
        <f>IF('Fragen Komplett'!H21="Ja",3,0)</f>
        <v>3</v>
      </c>
      <c r="F21">
        <f>IF('KO Liste'!F21="Ja",2,IF('KO Liste'!G21="Ja",1,0))</f>
        <v>2</v>
      </c>
      <c r="G21">
        <f>_xlfn.XLOOKUP(B21,'Block Gewichte'!$A:$A,'Block Gewichte'!$B:$B,1)</f>
        <v>1.5</v>
      </c>
      <c r="H21" s="9">
        <f t="shared" si="1"/>
        <v>7.875</v>
      </c>
      <c r="J21" s="7">
        <f t="shared" si="0"/>
        <v>1</v>
      </c>
      <c r="K21" s="8">
        <f t="shared" si="2"/>
        <v>70.875</v>
      </c>
      <c r="L21" s="8">
        <f t="shared" si="3"/>
        <v>141.75</v>
      </c>
    </row>
    <row r="22" spans="1:12" x14ac:dyDescent="0.25">
      <c r="A22" t="str">
        <f>'Fragen Komplett'!A22</f>
        <v>F-BP-026</v>
      </c>
      <c r="B22" t="str">
        <f>'Fragen Komplett'!B22</f>
        <v>B</v>
      </c>
      <c r="C22">
        <f>IF('Fragen Komplett'!F22="Ja",3,0)</f>
        <v>3</v>
      </c>
      <c r="D22">
        <f>IF('Fragen Komplett'!G22="Ja",3,0)</f>
        <v>3</v>
      </c>
      <c r="E22">
        <f>IF('Fragen Komplett'!H22="Ja",3,0)</f>
        <v>3</v>
      </c>
      <c r="F22">
        <f>IF('KO Liste'!F22="Ja",2,IF('KO Liste'!G22="Ja",1,0))</f>
        <v>2</v>
      </c>
      <c r="G22">
        <f>_xlfn.XLOOKUP(B22,'Block Gewichte'!$A:$A,'Block Gewichte'!$B:$B,1)</f>
        <v>1.5</v>
      </c>
      <c r="H22" s="9">
        <f t="shared" si="1"/>
        <v>7.875</v>
      </c>
      <c r="J22" s="7">
        <f t="shared" si="0"/>
        <v>1</v>
      </c>
      <c r="K22" s="8">
        <f t="shared" si="2"/>
        <v>70.875</v>
      </c>
      <c r="L22" s="8">
        <f t="shared" si="3"/>
        <v>141.75</v>
      </c>
    </row>
    <row r="23" spans="1:12" x14ac:dyDescent="0.25">
      <c r="A23" t="str">
        <f>'Fragen Komplett'!A23</f>
        <v>F-BP-029</v>
      </c>
      <c r="B23" t="str">
        <f>'Fragen Komplett'!B23</f>
        <v>C</v>
      </c>
      <c r="C23">
        <f>IF('Fragen Komplett'!F23="Ja",3,0)</f>
        <v>0</v>
      </c>
      <c r="D23">
        <f>IF('Fragen Komplett'!G23="Ja",3,0)</f>
        <v>0</v>
      </c>
      <c r="E23">
        <f>IF('Fragen Komplett'!H23="Ja",3,0)</f>
        <v>3</v>
      </c>
      <c r="F23">
        <f>IF('KO Liste'!F23="Ja",2,IF('KO Liste'!G23="Ja",1,0))</f>
        <v>1</v>
      </c>
      <c r="G23">
        <f>_xlfn.XLOOKUP(B23,'Block Gewichte'!$A:$A,'Block Gewichte'!$B:$B,1)</f>
        <v>1.5</v>
      </c>
      <c r="H23" s="9">
        <f t="shared" si="1"/>
        <v>1.875</v>
      </c>
      <c r="J23" s="7">
        <f t="shared" si="0"/>
        <v>1</v>
      </c>
      <c r="K23" s="8">
        <f t="shared" si="2"/>
        <v>5.625</v>
      </c>
      <c r="L23" s="8">
        <f t="shared" si="3"/>
        <v>5.625</v>
      </c>
    </row>
    <row r="24" spans="1:12" x14ac:dyDescent="0.25">
      <c r="A24" t="str">
        <f>'Fragen Komplett'!A24</f>
        <v>F-BP-030</v>
      </c>
      <c r="B24" t="str">
        <f>'Fragen Komplett'!B24</f>
        <v>C</v>
      </c>
      <c r="C24">
        <f>IF('Fragen Komplett'!F24="Ja",3,0)</f>
        <v>0</v>
      </c>
      <c r="D24">
        <f>IF('Fragen Komplett'!G24="Ja",3,0)</f>
        <v>0</v>
      </c>
      <c r="E24">
        <f>IF('Fragen Komplett'!H24="Ja",3,0)</f>
        <v>3</v>
      </c>
      <c r="F24">
        <f>IF('KO Liste'!F24="Ja",2,IF('KO Liste'!G24="Ja",1,0))</f>
        <v>1</v>
      </c>
      <c r="G24">
        <f>_xlfn.XLOOKUP(B24,'Block Gewichte'!$A:$A,'Block Gewichte'!$B:$B,1)</f>
        <v>1.5</v>
      </c>
      <c r="H24" s="9">
        <f t="shared" si="1"/>
        <v>1.875</v>
      </c>
      <c r="J24" s="7">
        <f t="shared" si="0"/>
        <v>1</v>
      </c>
      <c r="K24" s="8">
        <f t="shared" si="2"/>
        <v>5.625</v>
      </c>
      <c r="L24" s="8">
        <f t="shared" si="3"/>
        <v>5.625</v>
      </c>
    </row>
    <row r="25" spans="1:12" x14ac:dyDescent="0.25">
      <c r="A25" t="str">
        <f>'Fragen Komplett'!A25</f>
        <v>F-BP-031</v>
      </c>
      <c r="B25" t="str">
        <f>'Fragen Komplett'!B25</f>
        <v>C</v>
      </c>
      <c r="C25">
        <f>IF('Fragen Komplett'!F25="Ja",3,0)</f>
        <v>0</v>
      </c>
      <c r="D25">
        <f>IF('Fragen Komplett'!G25="Ja",3,0)</f>
        <v>0</v>
      </c>
      <c r="E25">
        <f>IF('Fragen Komplett'!H25="Ja",3,0)</f>
        <v>3</v>
      </c>
      <c r="F25">
        <f>IF('KO Liste'!F25="Ja",2,IF('KO Liste'!G25="Ja",1,0))</f>
        <v>1</v>
      </c>
      <c r="G25">
        <f>_xlfn.XLOOKUP(B25,'Block Gewichte'!$A:$A,'Block Gewichte'!$B:$B,1)</f>
        <v>1.5</v>
      </c>
      <c r="H25" s="9">
        <f t="shared" si="1"/>
        <v>1.875</v>
      </c>
      <c r="J25" s="7">
        <f t="shared" si="0"/>
        <v>1</v>
      </c>
      <c r="K25" s="8">
        <f t="shared" si="2"/>
        <v>5.625</v>
      </c>
      <c r="L25" s="8">
        <f t="shared" si="3"/>
        <v>5.625</v>
      </c>
    </row>
    <row r="26" spans="1:12" x14ac:dyDescent="0.25">
      <c r="A26" t="str">
        <f>'Fragen Komplett'!A26</f>
        <v>F-BP-032</v>
      </c>
      <c r="B26" t="str">
        <f>'Fragen Komplett'!B26</f>
        <v>C</v>
      </c>
      <c r="C26">
        <f>IF('Fragen Komplett'!F26="Ja",3,0)</f>
        <v>0</v>
      </c>
      <c r="D26">
        <f>IF('Fragen Komplett'!G26="Ja",3,0)</f>
        <v>0</v>
      </c>
      <c r="E26">
        <f>IF('Fragen Komplett'!H26="Ja",3,0)</f>
        <v>3</v>
      </c>
      <c r="F26">
        <f>IF('KO Liste'!F26="Ja",2,IF('KO Liste'!G26="Ja",1,0))</f>
        <v>1</v>
      </c>
      <c r="G26">
        <f>_xlfn.XLOOKUP(B26,'Block Gewichte'!$A:$A,'Block Gewichte'!$B:$B,1)</f>
        <v>1.5</v>
      </c>
      <c r="H26" s="9">
        <f t="shared" si="1"/>
        <v>1.875</v>
      </c>
      <c r="J26" s="7">
        <f t="shared" si="0"/>
        <v>1</v>
      </c>
      <c r="K26" s="8">
        <f t="shared" si="2"/>
        <v>5.625</v>
      </c>
      <c r="L26" s="8">
        <f t="shared" si="3"/>
        <v>5.625</v>
      </c>
    </row>
    <row r="27" spans="1:12" x14ac:dyDescent="0.25">
      <c r="A27" t="str">
        <f>'Fragen Komplett'!A27</f>
        <v>F-BP-033</v>
      </c>
      <c r="B27" t="str">
        <f>'Fragen Komplett'!B27</f>
        <v>C</v>
      </c>
      <c r="C27">
        <f>IF('Fragen Komplett'!F27="Ja",3,0)</f>
        <v>0</v>
      </c>
      <c r="D27">
        <f>IF('Fragen Komplett'!G27="Ja",3,0)</f>
        <v>0</v>
      </c>
      <c r="E27">
        <f>IF('Fragen Komplett'!H27="Ja",3,0)</f>
        <v>3</v>
      </c>
      <c r="F27">
        <f>IF('KO Liste'!F27="Ja",2,IF('KO Liste'!G27="Ja",1,0))</f>
        <v>1</v>
      </c>
      <c r="G27">
        <f>_xlfn.XLOOKUP(B27,'Block Gewichte'!$A:$A,'Block Gewichte'!$B:$B,1)</f>
        <v>1.5</v>
      </c>
      <c r="H27" s="9">
        <f t="shared" si="1"/>
        <v>1.875</v>
      </c>
      <c r="J27" s="7">
        <f t="shared" si="0"/>
        <v>1</v>
      </c>
      <c r="K27" s="8">
        <f t="shared" si="2"/>
        <v>5.625</v>
      </c>
      <c r="L27" s="8">
        <f t="shared" si="3"/>
        <v>5.625</v>
      </c>
    </row>
    <row r="28" spans="1:12" x14ac:dyDescent="0.25">
      <c r="A28" t="str">
        <f>'Fragen Komplett'!A28</f>
        <v>F-BP-034</v>
      </c>
      <c r="B28" t="str">
        <f>'Fragen Komplett'!B28</f>
        <v>C</v>
      </c>
      <c r="C28">
        <f>IF('Fragen Komplett'!F28="Ja",3,0)</f>
        <v>3</v>
      </c>
      <c r="D28">
        <f>IF('Fragen Komplett'!G28="Ja",3,0)</f>
        <v>3</v>
      </c>
      <c r="E28">
        <f>IF('Fragen Komplett'!H28="Ja",3,0)</f>
        <v>3</v>
      </c>
      <c r="F28">
        <f>IF('KO Liste'!F28="Ja",2,IF('KO Liste'!G28="Ja",1,0))</f>
        <v>2</v>
      </c>
      <c r="G28">
        <f>_xlfn.XLOOKUP(B28,'Block Gewichte'!$A:$A,'Block Gewichte'!$B:$B,1)</f>
        <v>1.5</v>
      </c>
      <c r="H28" s="9">
        <f t="shared" si="1"/>
        <v>7.875</v>
      </c>
      <c r="J28" s="7">
        <f t="shared" si="0"/>
        <v>1</v>
      </c>
      <c r="K28" s="8">
        <f t="shared" si="2"/>
        <v>70.875</v>
      </c>
      <c r="L28" s="8">
        <f t="shared" si="3"/>
        <v>141.75</v>
      </c>
    </row>
    <row r="29" spans="1:12" x14ac:dyDescent="0.25">
      <c r="A29" t="str">
        <f>'Fragen Komplett'!A29</f>
        <v>F-BP-035</v>
      </c>
      <c r="B29" t="str">
        <f>'Fragen Komplett'!B29</f>
        <v>C</v>
      </c>
      <c r="C29">
        <f>IF('Fragen Komplett'!F29="Ja",3,0)</f>
        <v>0</v>
      </c>
      <c r="D29">
        <f>IF('Fragen Komplett'!G29="Ja",3,0)</f>
        <v>0</v>
      </c>
      <c r="E29">
        <f>IF('Fragen Komplett'!H29="Ja",3,0)</f>
        <v>3</v>
      </c>
      <c r="F29">
        <f>IF('KO Liste'!F29="Ja",2,IF('KO Liste'!G29="Ja",1,0))</f>
        <v>1</v>
      </c>
      <c r="G29">
        <f>_xlfn.XLOOKUP(B29,'Block Gewichte'!$A:$A,'Block Gewichte'!$B:$B,1)</f>
        <v>1.5</v>
      </c>
      <c r="H29" s="9">
        <f t="shared" si="1"/>
        <v>1.875</v>
      </c>
      <c r="J29" s="7">
        <f t="shared" si="0"/>
        <v>1</v>
      </c>
      <c r="K29" s="8">
        <f t="shared" si="2"/>
        <v>5.625</v>
      </c>
      <c r="L29" s="8">
        <f t="shared" si="3"/>
        <v>5.625</v>
      </c>
    </row>
    <row r="30" spans="1:12" x14ac:dyDescent="0.25">
      <c r="A30" t="str">
        <f>'Fragen Komplett'!A30</f>
        <v>F-BP-036</v>
      </c>
      <c r="B30" t="str">
        <f>'Fragen Komplett'!B30</f>
        <v>C</v>
      </c>
      <c r="C30">
        <f>IF('Fragen Komplett'!F30="Ja",3,0)</f>
        <v>0</v>
      </c>
      <c r="D30">
        <f>IF('Fragen Komplett'!G30="Ja",3,0)</f>
        <v>0</v>
      </c>
      <c r="E30">
        <f>IF('Fragen Komplett'!H30="Ja",3,0)</f>
        <v>3</v>
      </c>
      <c r="F30">
        <f>IF('KO Liste'!F30="Ja",2,IF('KO Liste'!G30="Ja",1,0))</f>
        <v>1</v>
      </c>
      <c r="G30">
        <f>_xlfn.XLOOKUP(B30,'Block Gewichte'!$A:$A,'Block Gewichte'!$B:$B,1)</f>
        <v>1.5</v>
      </c>
      <c r="H30" s="9">
        <f t="shared" si="1"/>
        <v>1.875</v>
      </c>
      <c r="J30" s="7">
        <f t="shared" si="0"/>
        <v>1</v>
      </c>
      <c r="K30" s="8">
        <f t="shared" si="2"/>
        <v>5.625</v>
      </c>
      <c r="L30" s="8">
        <f t="shared" si="3"/>
        <v>5.625</v>
      </c>
    </row>
    <row r="31" spans="1:12" x14ac:dyDescent="0.25">
      <c r="A31" t="str">
        <f>'Fragen Komplett'!A31</f>
        <v>F-BP-037</v>
      </c>
      <c r="B31" t="str">
        <f>'Fragen Komplett'!B31</f>
        <v>C</v>
      </c>
      <c r="C31">
        <f>IF('Fragen Komplett'!F31="Ja",3,0)</f>
        <v>0</v>
      </c>
      <c r="D31">
        <f>IF('Fragen Komplett'!G31="Ja",3,0)</f>
        <v>0</v>
      </c>
      <c r="E31">
        <f>IF('Fragen Komplett'!H31="Ja",3,0)</f>
        <v>3</v>
      </c>
      <c r="F31">
        <f>IF('KO Liste'!F31="Ja",2,IF('KO Liste'!G31="Ja",1,0))</f>
        <v>1</v>
      </c>
      <c r="G31">
        <f>_xlfn.XLOOKUP(B31,'Block Gewichte'!$A:$A,'Block Gewichte'!$B:$B,1)</f>
        <v>1.5</v>
      </c>
      <c r="H31" s="9">
        <f t="shared" si="1"/>
        <v>1.875</v>
      </c>
      <c r="J31" s="7">
        <f t="shared" si="0"/>
        <v>1</v>
      </c>
      <c r="K31" s="8">
        <f t="shared" si="2"/>
        <v>5.625</v>
      </c>
      <c r="L31" s="8">
        <f t="shared" si="3"/>
        <v>5.625</v>
      </c>
    </row>
    <row r="32" spans="1:12" x14ac:dyDescent="0.25">
      <c r="A32" t="str">
        <f>'Fragen Komplett'!A32</f>
        <v>F-BP-038</v>
      </c>
      <c r="B32" t="str">
        <f>'Fragen Komplett'!B32</f>
        <v>C</v>
      </c>
      <c r="C32">
        <f>IF('Fragen Komplett'!F32="Ja",3,0)</f>
        <v>0</v>
      </c>
      <c r="D32">
        <f>IF('Fragen Komplett'!G32="Ja",3,0)</f>
        <v>0</v>
      </c>
      <c r="E32">
        <f>IF('Fragen Komplett'!H32="Ja",3,0)</f>
        <v>3</v>
      </c>
      <c r="F32">
        <f>IF('KO Liste'!F32="Ja",2,IF('KO Liste'!G32="Ja",1,0))</f>
        <v>1</v>
      </c>
      <c r="G32">
        <f>_xlfn.XLOOKUP(B32,'Block Gewichte'!$A:$A,'Block Gewichte'!$B:$B,1)</f>
        <v>1.5</v>
      </c>
      <c r="H32" s="9">
        <f t="shared" si="1"/>
        <v>1.875</v>
      </c>
      <c r="J32" s="7">
        <f t="shared" si="0"/>
        <v>1</v>
      </c>
      <c r="K32" s="8">
        <f t="shared" si="2"/>
        <v>5.625</v>
      </c>
      <c r="L32" s="8">
        <f t="shared" si="3"/>
        <v>5.625</v>
      </c>
    </row>
    <row r="33" spans="1:12" x14ac:dyDescent="0.25">
      <c r="A33" t="str">
        <f>'Fragen Komplett'!A33</f>
        <v>F-BP-041</v>
      </c>
      <c r="B33" t="str">
        <f>'Fragen Komplett'!B33</f>
        <v>C</v>
      </c>
      <c r="C33">
        <f>IF('Fragen Komplett'!F33="Ja",3,0)</f>
        <v>0</v>
      </c>
      <c r="D33">
        <f>IF('Fragen Komplett'!G33="Ja",3,0)</f>
        <v>0</v>
      </c>
      <c r="E33">
        <f>IF('Fragen Komplett'!H33="Ja",3,0)</f>
        <v>3</v>
      </c>
      <c r="F33">
        <f>IF('KO Liste'!F33="Ja",2,IF('KO Liste'!G33="Ja",1,0))</f>
        <v>1</v>
      </c>
      <c r="G33">
        <f>_xlfn.XLOOKUP(B33,'Block Gewichte'!$A:$A,'Block Gewichte'!$B:$B,1)</f>
        <v>1.5</v>
      </c>
      <c r="H33" s="9">
        <f t="shared" si="1"/>
        <v>1.875</v>
      </c>
      <c r="J33" s="7">
        <f t="shared" si="0"/>
        <v>1</v>
      </c>
      <c r="K33" s="8">
        <f t="shared" si="2"/>
        <v>5.625</v>
      </c>
      <c r="L33" s="8">
        <f t="shared" si="3"/>
        <v>5.625</v>
      </c>
    </row>
    <row r="34" spans="1:12" x14ac:dyDescent="0.25">
      <c r="A34" t="str">
        <f>'Fragen Komplett'!A34</f>
        <v>F-BP-043</v>
      </c>
      <c r="B34" t="str">
        <f>'Fragen Komplett'!B34</f>
        <v>C</v>
      </c>
      <c r="C34">
        <f>IF('Fragen Komplett'!F34="Ja",3,0)</f>
        <v>3</v>
      </c>
      <c r="D34">
        <f>IF('Fragen Komplett'!G34="Ja",3,0)</f>
        <v>3</v>
      </c>
      <c r="E34">
        <f>IF('Fragen Komplett'!H34="Ja",3,0)</f>
        <v>3</v>
      </c>
      <c r="F34">
        <f>IF('KO Liste'!F34="Ja",2,IF('KO Liste'!G34="Ja",1,0))</f>
        <v>2</v>
      </c>
      <c r="G34">
        <f>_xlfn.XLOOKUP(B34,'Block Gewichte'!$A:$A,'Block Gewichte'!$B:$B,1)</f>
        <v>1.5</v>
      </c>
      <c r="H34" s="9">
        <f t="shared" si="1"/>
        <v>7.875</v>
      </c>
      <c r="J34" s="7">
        <f t="shared" si="0"/>
        <v>1</v>
      </c>
      <c r="K34" s="8">
        <f t="shared" si="2"/>
        <v>70.875</v>
      </c>
      <c r="L34" s="8">
        <f t="shared" si="3"/>
        <v>141.75</v>
      </c>
    </row>
    <row r="35" spans="1:12" x14ac:dyDescent="0.25">
      <c r="A35" t="str">
        <f>'Fragen Komplett'!A35</f>
        <v>F-BP-044</v>
      </c>
      <c r="B35" t="str">
        <f>'Fragen Komplett'!B35</f>
        <v>C</v>
      </c>
      <c r="C35">
        <f>IF('Fragen Komplett'!F35="Ja",3,0)</f>
        <v>0</v>
      </c>
      <c r="D35">
        <f>IF('Fragen Komplett'!G35="Ja",3,0)</f>
        <v>0</v>
      </c>
      <c r="E35">
        <f>IF('Fragen Komplett'!H35="Ja",3,0)</f>
        <v>3</v>
      </c>
      <c r="F35">
        <f>IF('KO Liste'!F35="Ja",2,IF('KO Liste'!G35="Ja",1,0))</f>
        <v>1</v>
      </c>
      <c r="G35">
        <f>_xlfn.XLOOKUP(B35,'Block Gewichte'!$A:$A,'Block Gewichte'!$B:$B,1)</f>
        <v>1.5</v>
      </c>
      <c r="H35" s="9">
        <f t="shared" si="1"/>
        <v>1.875</v>
      </c>
      <c r="J35" s="7">
        <f t="shared" si="0"/>
        <v>1</v>
      </c>
      <c r="K35" s="8">
        <f t="shared" si="2"/>
        <v>5.625</v>
      </c>
      <c r="L35" s="8">
        <f t="shared" si="3"/>
        <v>5.625</v>
      </c>
    </row>
    <row r="36" spans="1:12" x14ac:dyDescent="0.25">
      <c r="A36" t="str">
        <f>'Fragen Komplett'!A36</f>
        <v>F-BP-045</v>
      </c>
      <c r="B36" t="str">
        <f>'Fragen Komplett'!B36</f>
        <v>D</v>
      </c>
      <c r="C36">
        <f>IF('Fragen Komplett'!F36="Ja",3,0)</f>
        <v>0</v>
      </c>
      <c r="D36">
        <f>IF('Fragen Komplett'!G36="Ja",3,0)</f>
        <v>0</v>
      </c>
      <c r="E36">
        <f>IF('Fragen Komplett'!H36="Ja",3,0)</f>
        <v>0</v>
      </c>
      <c r="F36">
        <f>IF('KO Liste'!F36="Ja",2,IF('KO Liste'!G36="Ja",1,0))</f>
        <v>1</v>
      </c>
      <c r="G36">
        <f>_xlfn.XLOOKUP(B36,'Block Gewichte'!$A:$A,'Block Gewichte'!$B:$B,1)</f>
        <v>1.3</v>
      </c>
      <c r="H36" s="9">
        <f t="shared" si="1"/>
        <v>0</v>
      </c>
      <c r="J36" s="7">
        <f t="shared" si="0"/>
        <v>1</v>
      </c>
      <c r="K36" s="8">
        <f t="shared" si="2"/>
        <v>0</v>
      </c>
      <c r="L36" s="8">
        <f t="shared" si="3"/>
        <v>0</v>
      </c>
    </row>
    <row r="37" spans="1:12" x14ac:dyDescent="0.25">
      <c r="A37" t="str">
        <f>'Fragen Komplett'!A37</f>
        <v>F-BP-046</v>
      </c>
      <c r="B37" t="str">
        <f>'Fragen Komplett'!B37</f>
        <v>D</v>
      </c>
      <c r="C37">
        <f>IF('Fragen Komplett'!F37="Ja",3,0)</f>
        <v>0</v>
      </c>
      <c r="D37">
        <f>IF('Fragen Komplett'!G37="Ja",3,0)</f>
        <v>0</v>
      </c>
      <c r="E37">
        <f>IF('Fragen Komplett'!H37="Ja",3,0)</f>
        <v>0</v>
      </c>
      <c r="F37">
        <f>IF('KO Liste'!F37="Ja",2,IF('KO Liste'!G37="Ja",1,0))</f>
        <v>1</v>
      </c>
      <c r="G37">
        <f>_xlfn.XLOOKUP(B37,'Block Gewichte'!$A:$A,'Block Gewichte'!$B:$B,1)</f>
        <v>1.3</v>
      </c>
      <c r="H37" s="9">
        <f t="shared" si="1"/>
        <v>0</v>
      </c>
      <c r="J37" s="7">
        <f t="shared" si="0"/>
        <v>1</v>
      </c>
      <c r="K37" s="8">
        <f t="shared" si="2"/>
        <v>0</v>
      </c>
      <c r="L37" s="8">
        <f t="shared" si="3"/>
        <v>0</v>
      </c>
    </row>
    <row r="38" spans="1:12" x14ac:dyDescent="0.25">
      <c r="A38" t="str">
        <f>'Fragen Komplett'!A38</f>
        <v>F-BP-047</v>
      </c>
      <c r="B38" t="str">
        <f>'Fragen Komplett'!B38</f>
        <v>D</v>
      </c>
      <c r="C38">
        <f>IF('Fragen Komplett'!F38="Ja",3,0)</f>
        <v>0</v>
      </c>
      <c r="D38">
        <f>IF('Fragen Komplett'!G38="Ja",3,0)</f>
        <v>0</v>
      </c>
      <c r="E38">
        <f>IF('Fragen Komplett'!H38="Ja",3,0)</f>
        <v>0</v>
      </c>
      <c r="F38">
        <f>IF('KO Liste'!F38="Ja",2,IF('KO Liste'!G38="Ja",1,0))</f>
        <v>1</v>
      </c>
      <c r="G38">
        <f>_xlfn.XLOOKUP(B38,'Block Gewichte'!$A:$A,'Block Gewichte'!$B:$B,1)</f>
        <v>1.3</v>
      </c>
      <c r="H38" s="9">
        <f t="shared" si="1"/>
        <v>0</v>
      </c>
      <c r="J38" s="7">
        <f t="shared" si="0"/>
        <v>1</v>
      </c>
      <c r="K38" s="8">
        <f t="shared" si="2"/>
        <v>0</v>
      </c>
      <c r="L38" s="8">
        <f t="shared" si="3"/>
        <v>0</v>
      </c>
    </row>
    <row r="39" spans="1:12" x14ac:dyDescent="0.25">
      <c r="A39" t="str">
        <f>'Fragen Komplett'!A39</f>
        <v>F-BP-048</v>
      </c>
      <c r="B39" t="str">
        <f>'Fragen Komplett'!B39</f>
        <v>D</v>
      </c>
      <c r="C39">
        <f>IF('Fragen Komplett'!F39="Ja",3,0)</f>
        <v>0</v>
      </c>
      <c r="D39">
        <f>IF('Fragen Komplett'!G39="Ja",3,0)</f>
        <v>0</v>
      </c>
      <c r="E39">
        <f>IF('Fragen Komplett'!H39="Ja",3,0)</f>
        <v>3</v>
      </c>
      <c r="F39">
        <f>IF('KO Liste'!F39="Ja",2,IF('KO Liste'!G39="Ja",1,0))</f>
        <v>1</v>
      </c>
      <c r="G39">
        <f>_xlfn.XLOOKUP(B39,'Block Gewichte'!$A:$A,'Block Gewichte'!$B:$B,1)</f>
        <v>1.3</v>
      </c>
      <c r="H39" s="9">
        <f t="shared" si="1"/>
        <v>1.625</v>
      </c>
      <c r="J39" s="7">
        <f t="shared" si="0"/>
        <v>1</v>
      </c>
      <c r="K39" s="8">
        <f t="shared" si="2"/>
        <v>4.875</v>
      </c>
      <c r="L39" s="8">
        <f t="shared" si="3"/>
        <v>4.875</v>
      </c>
    </row>
    <row r="40" spans="1:12" x14ac:dyDescent="0.25">
      <c r="A40" t="str">
        <f>'Fragen Komplett'!A40</f>
        <v>F-BP-049</v>
      </c>
      <c r="B40" t="str">
        <f>'Fragen Komplett'!B40</f>
        <v>D</v>
      </c>
      <c r="C40">
        <f>IF('Fragen Komplett'!F40="Ja",3,0)</f>
        <v>3</v>
      </c>
      <c r="D40">
        <f>IF('Fragen Komplett'!G40="Ja",3,0)</f>
        <v>0</v>
      </c>
      <c r="E40">
        <f>IF('Fragen Komplett'!H40="Ja",3,0)</f>
        <v>0</v>
      </c>
      <c r="F40">
        <f>IF('KO Liste'!F40="Ja",2,IF('KO Liste'!G40="Ja",1,0))</f>
        <v>1</v>
      </c>
      <c r="G40">
        <f>_xlfn.XLOOKUP(B40,'Block Gewichte'!$A:$A,'Block Gewichte'!$B:$B,1)</f>
        <v>1.3</v>
      </c>
      <c r="H40" s="9">
        <f t="shared" si="1"/>
        <v>1.625</v>
      </c>
      <c r="J40" s="7">
        <f t="shared" si="0"/>
        <v>1</v>
      </c>
      <c r="K40" s="8">
        <f t="shared" si="2"/>
        <v>4.875</v>
      </c>
      <c r="L40" s="8">
        <f t="shared" si="3"/>
        <v>4.875</v>
      </c>
    </row>
    <row r="41" spans="1:12" x14ac:dyDescent="0.25">
      <c r="A41" t="str">
        <f>'Fragen Komplett'!A41</f>
        <v>F-BP-050</v>
      </c>
      <c r="B41" t="str">
        <f>'Fragen Komplett'!B41</f>
        <v>D</v>
      </c>
      <c r="C41">
        <f>IF('Fragen Komplett'!F41="Ja",3,0)</f>
        <v>0</v>
      </c>
      <c r="D41">
        <f>IF('Fragen Komplett'!G41="Ja",3,0)</f>
        <v>0</v>
      </c>
      <c r="E41">
        <f>IF('Fragen Komplett'!H41="Ja",3,0)</f>
        <v>3</v>
      </c>
      <c r="F41">
        <f>IF('KO Liste'!F41="Ja",2,IF('KO Liste'!G41="Ja",1,0))</f>
        <v>1</v>
      </c>
      <c r="G41">
        <f>_xlfn.XLOOKUP(B41,'Block Gewichte'!$A:$A,'Block Gewichte'!$B:$B,1)</f>
        <v>1.3</v>
      </c>
      <c r="H41" s="9">
        <f t="shared" si="1"/>
        <v>1.625</v>
      </c>
      <c r="J41" s="7">
        <f t="shared" si="0"/>
        <v>1</v>
      </c>
      <c r="K41" s="8">
        <f t="shared" si="2"/>
        <v>4.875</v>
      </c>
      <c r="L41" s="8">
        <f t="shared" si="3"/>
        <v>4.875</v>
      </c>
    </row>
    <row r="42" spans="1:12" x14ac:dyDescent="0.25">
      <c r="A42" t="str">
        <f>'Fragen Komplett'!A42</f>
        <v>F-BP-051</v>
      </c>
      <c r="B42" t="str">
        <f>'Fragen Komplett'!B42</f>
        <v>D</v>
      </c>
      <c r="C42">
        <f>IF('Fragen Komplett'!F42="Ja",3,0)</f>
        <v>0</v>
      </c>
      <c r="D42">
        <f>IF('Fragen Komplett'!G42="Ja",3,0)</f>
        <v>0</v>
      </c>
      <c r="E42">
        <f>IF('Fragen Komplett'!H42="Ja",3,0)</f>
        <v>3</v>
      </c>
      <c r="F42">
        <f>IF('KO Liste'!F42="Ja",2,IF('KO Liste'!G42="Ja",1,0))</f>
        <v>1</v>
      </c>
      <c r="G42">
        <f>_xlfn.XLOOKUP(B42,'Block Gewichte'!$A:$A,'Block Gewichte'!$B:$B,1)</f>
        <v>1.3</v>
      </c>
      <c r="H42" s="9">
        <f t="shared" si="1"/>
        <v>1.625</v>
      </c>
      <c r="J42" s="7">
        <f t="shared" si="0"/>
        <v>1</v>
      </c>
      <c r="K42" s="8">
        <f t="shared" si="2"/>
        <v>4.875</v>
      </c>
      <c r="L42" s="8">
        <f t="shared" si="3"/>
        <v>4.875</v>
      </c>
    </row>
    <row r="43" spans="1:12" x14ac:dyDescent="0.25">
      <c r="A43" t="str">
        <f>'Fragen Komplett'!A43</f>
        <v>F-BP-052</v>
      </c>
      <c r="B43" t="str">
        <f>'Fragen Komplett'!B43</f>
        <v>D</v>
      </c>
      <c r="C43">
        <f>IF('Fragen Komplett'!F43="Ja",3,0)</f>
        <v>3</v>
      </c>
      <c r="D43">
        <f>IF('Fragen Komplett'!G43="Ja",3,0)</f>
        <v>3</v>
      </c>
      <c r="E43">
        <f>IF('Fragen Komplett'!H43="Ja",3,0)</f>
        <v>0</v>
      </c>
      <c r="F43">
        <f>IF('KO Liste'!F43="Ja",2,IF('KO Liste'!G43="Ja",1,0))</f>
        <v>2</v>
      </c>
      <c r="G43">
        <f>_xlfn.XLOOKUP(B43,'Block Gewichte'!$A:$A,'Block Gewichte'!$B:$B,1)</f>
        <v>1.3</v>
      </c>
      <c r="H43" s="9">
        <f t="shared" si="1"/>
        <v>4.55</v>
      </c>
      <c r="J43" s="7">
        <f t="shared" si="0"/>
        <v>1</v>
      </c>
      <c r="K43" s="8">
        <f t="shared" si="2"/>
        <v>27.299999999999997</v>
      </c>
      <c r="L43" s="8">
        <f t="shared" si="3"/>
        <v>54.599999999999994</v>
      </c>
    </row>
    <row r="44" spans="1:12" x14ac:dyDescent="0.25">
      <c r="A44" t="str">
        <f>'Fragen Komplett'!A44</f>
        <v>F-BP-054</v>
      </c>
      <c r="B44" t="str">
        <f>'Fragen Komplett'!B44</f>
        <v>D</v>
      </c>
      <c r="C44">
        <f>IF('Fragen Komplett'!F44="Ja",3,0)</f>
        <v>0</v>
      </c>
      <c r="D44">
        <f>IF('Fragen Komplett'!G44="Ja",3,0)</f>
        <v>3</v>
      </c>
      <c r="E44">
        <f>IF('Fragen Komplett'!H44="Ja",3,0)</f>
        <v>0</v>
      </c>
      <c r="F44">
        <f>IF('KO Liste'!F44="Ja",2,IF('KO Liste'!G44="Ja",1,0))</f>
        <v>2</v>
      </c>
      <c r="G44">
        <f>_xlfn.XLOOKUP(B44,'Block Gewichte'!$A:$A,'Block Gewichte'!$B:$B,1)</f>
        <v>1.3</v>
      </c>
      <c r="H44" s="9">
        <f t="shared" si="1"/>
        <v>2.2749999999999999</v>
      </c>
      <c r="J44" s="7">
        <f t="shared" si="0"/>
        <v>1</v>
      </c>
      <c r="K44" s="8">
        <f t="shared" si="2"/>
        <v>6.8249999999999993</v>
      </c>
      <c r="L44" s="8">
        <f t="shared" si="3"/>
        <v>13.649999999999999</v>
      </c>
    </row>
    <row r="45" spans="1:12" x14ac:dyDescent="0.25">
      <c r="A45" t="str">
        <f>'Fragen Komplett'!A45</f>
        <v>F-BP-056</v>
      </c>
      <c r="B45" t="str">
        <f>'Fragen Komplett'!B45</f>
        <v>D</v>
      </c>
      <c r="C45">
        <f>IF('Fragen Komplett'!F45="Ja",3,0)</f>
        <v>0</v>
      </c>
      <c r="D45">
        <f>IF('Fragen Komplett'!G45="Ja",3,0)</f>
        <v>0</v>
      </c>
      <c r="E45">
        <f>IF('Fragen Komplett'!H45="Ja",3,0)</f>
        <v>3</v>
      </c>
      <c r="F45">
        <f>IF('KO Liste'!F45="Ja",2,IF('KO Liste'!G45="Ja",1,0))</f>
        <v>1</v>
      </c>
      <c r="G45">
        <f>_xlfn.XLOOKUP(B45,'Block Gewichte'!$A:$A,'Block Gewichte'!$B:$B,1)</f>
        <v>1.3</v>
      </c>
      <c r="H45" s="9">
        <f t="shared" si="1"/>
        <v>1.625</v>
      </c>
      <c r="J45" s="7">
        <f t="shared" si="0"/>
        <v>1</v>
      </c>
      <c r="K45" s="8">
        <f t="shared" si="2"/>
        <v>4.875</v>
      </c>
      <c r="L45" s="8">
        <f t="shared" si="3"/>
        <v>4.875</v>
      </c>
    </row>
    <row r="46" spans="1:12" x14ac:dyDescent="0.25">
      <c r="A46" t="str">
        <f>'Fragen Komplett'!A46</f>
        <v>F-BP-058</v>
      </c>
      <c r="B46" t="str">
        <f>'Fragen Komplett'!B46</f>
        <v>E</v>
      </c>
      <c r="C46">
        <f>IF('Fragen Komplett'!F46="Ja",3,0)</f>
        <v>0</v>
      </c>
      <c r="D46">
        <f>IF('Fragen Komplett'!G46="Ja",3,0)</f>
        <v>0</v>
      </c>
      <c r="E46">
        <f>IF('Fragen Komplett'!H46="Ja",3,0)</f>
        <v>0</v>
      </c>
      <c r="F46">
        <f>IF('KO Liste'!F46="Ja",2,IF('KO Liste'!G46="Ja",1,0))</f>
        <v>1</v>
      </c>
      <c r="G46">
        <f>_xlfn.XLOOKUP(B46,'Block Gewichte'!$A:$A,'Block Gewichte'!$B:$B,1)</f>
        <v>1</v>
      </c>
      <c r="H46" s="9">
        <f t="shared" si="1"/>
        <v>0</v>
      </c>
      <c r="J46" s="7">
        <f t="shared" si="0"/>
        <v>1</v>
      </c>
      <c r="K46" s="8">
        <f t="shared" si="2"/>
        <v>0</v>
      </c>
      <c r="L46" s="8">
        <f t="shared" si="3"/>
        <v>0</v>
      </c>
    </row>
    <row r="47" spans="1:12" x14ac:dyDescent="0.25">
      <c r="A47" t="str">
        <f>'Fragen Komplett'!A47</f>
        <v>F-BP-059</v>
      </c>
      <c r="B47" t="str">
        <f>'Fragen Komplett'!B47</f>
        <v>E</v>
      </c>
      <c r="C47">
        <f>IF('Fragen Komplett'!F47="Ja",3,0)</f>
        <v>0</v>
      </c>
      <c r="D47">
        <f>IF('Fragen Komplett'!G47="Ja",3,0)</f>
        <v>0</v>
      </c>
      <c r="E47">
        <f>IF('Fragen Komplett'!H47="Ja",3,0)</f>
        <v>0</v>
      </c>
      <c r="F47">
        <f>IF('KO Liste'!F47="Ja",2,IF('KO Liste'!G47="Ja",1,0))</f>
        <v>1</v>
      </c>
      <c r="G47">
        <f>_xlfn.XLOOKUP(B47,'Block Gewichte'!$A:$A,'Block Gewichte'!$B:$B,1)</f>
        <v>1</v>
      </c>
      <c r="H47" s="9">
        <f t="shared" si="1"/>
        <v>0</v>
      </c>
      <c r="J47" s="7">
        <f t="shared" si="0"/>
        <v>1</v>
      </c>
      <c r="K47" s="8">
        <f t="shared" si="2"/>
        <v>0</v>
      </c>
      <c r="L47" s="8">
        <f t="shared" si="3"/>
        <v>0</v>
      </c>
    </row>
    <row r="48" spans="1:12" x14ac:dyDescent="0.25">
      <c r="A48" t="str">
        <f>'Fragen Komplett'!A48</f>
        <v>F-BP-060</v>
      </c>
      <c r="B48" t="str">
        <f>'Fragen Komplett'!B48</f>
        <v>E</v>
      </c>
      <c r="C48">
        <f>IF('Fragen Komplett'!F48="Ja",3,0)</f>
        <v>0</v>
      </c>
      <c r="D48">
        <f>IF('Fragen Komplett'!G48="Ja",3,0)</f>
        <v>0</v>
      </c>
      <c r="E48">
        <f>IF('Fragen Komplett'!H48="Ja",3,0)</f>
        <v>0</v>
      </c>
      <c r="F48">
        <f>IF('KO Liste'!F48="Ja",2,IF('KO Liste'!G48="Ja",1,0))</f>
        <v>1</v>
      </c>
      <c r="G48">
        <f>_xlfn.XLOOKUP(B48,'Block Gewichte'!$A:$A,'Block Gewichte'!$B:$B,1)</f>
        <v>1</v>
      </c>
      <c r="H48" s="9">
        <f t="shared" si="1"/>
        <v>0</v>
      </c>
      <c r="J48" s="7">
        <f t="shared" si="0"/>
        <v>1</v>
      </c>
      <c r="K48" s="8">
        <f t="shared" si="2"/>
        <v>0</v>
      </c>
      <c r="L48" s="8">
        <f t="shared" si="3"/>
        <v>0</v>
      </c>
    </row>
    <row r="49" spans="1:12" x14ac:dyDescent="0.25">
      <c r="A49" t="str">
        <f>'Fragen Komplett'!A49</f>
        <v>F-BP-061</v>
      </c>
      <c r="B49" t="str">
        <f>'Fragen Komplett'!B49</f>
        <v>E</v>
      </c>
      <c r="C49">
        <f>IF('Fragen Komplett'!F49="Ja",3,0)</f>
        <v>0</v>
      </c>
      <c r="D49">
        <f>IF('Fragen Komplett'!G49="Ja",3,0)</f>
        <v>0</v>
      </c>
      <c r="E49">
        <f>IF('Fragen Komplett'!H49="Ja",3,0)</f>
        <v>3</v>
      </c>
      <c r="F49">
        <f>IF('KO Liste'!F49="Ja",2,IF('KO Liste'!G49="Ja",1,0))</f>
        <v>1</v>
      </c>
      <c r="G49">
        <f>_xlfn.XLOOKUP(B49,'Block Gewichte'!$A:$A,'Block Gewichte'!$B:$B,1)</f>
        <v>1</v>
      </c>
      <c r="H49" s="9">
        <f t="shared" si="1"/>
        <v>1.25</v>
      </c>
      <c r="J49" s="7">
        <f t="shared" si="0"/>
        <v>1</v>
      </c>
      <c r="K49" s="8">
        <f t="shared" si="2"/>
        <v>3.75</v>
      </c>
      <c r="L49" s="8">
        <f t="shared" si="3"/>
        <v>3.75</v>
      </c>
    </row>
    <row r="50" spans="1:12" x14ac:dyDescent="0.25">
      <c r="A50" t="str">
        <f>'Fragen Komplett'!A50</f>
        <v>F-BP-062</v>
      </c>
      <c r="B50" t="str">
        <f>'Fragen Komplett'!B50</f>
        <v>E</v>
      </c>
      <c r="C50">
        <f>IF('Fragen Komplett'!F50="Ja",3,0)</f>
        <v>0</v>
      </c>
      <c r="D50">
        <f>IF('Fragen Komplett'!G50="Ja",3,0)</f>
        <v>0</v>
      </c>
      <c r="E50">
        <f>IF('Fragen Komplett'!H50="Ja",3,0)</f>
        <v>3</v>
      </c>
      <c r="F50">
        <f>IF('KO Liste'!F50="Ja",2,IF('KO Liste'!G50="Ja",1,0))</f>
        <v>1</v>
      </c>
      <c r="G50">
        <f>_xlfn.XLOOKUP(B50,'Block Gewichte'!$A:$A,'Block Gewichte'!$B:$B,1)</f>
        <v>1</v>
      </c>
      <c r="H50" s="9">
        <f t="shared" si="1"/>
        <v>1.25</v>
      </c>
      <c r="J50" s="7">
        <f t="shared" si="0"/>
        <v>1</v>
      </c>
      <c r="K50" s="8">
        <f t="shared" si="2"/>
        <v>3.75</v>
      </c>
      <c r="L50" s="8">
        <f t="shared" si="3"/>
        <v>3.75</v>
      </c>
    </row>
    <row r="51" spans="1:12" x14ac:dyDescent="0.25">
      <c r="A51" t="str">
        <f>'Fragen Komplett'!A51</f>
        <v>F-BP-063</v>
      </c>
      <c r="B51" t="str">
        <f>'Fragen Komplett'!B51</f>
        <v>E</v>
      </c>
      <c r="C51">
        <f>IF('Fragen Komplett'!F51="Ja",3,0)</f>
        <v>0</v>
      </c>
      <c r="D51">
        <f>IF('Fragen Komplett'!G51="Ja",3,0)</f>
        <v>0</v>
      </c>
      <c r="E51">
        <f>IF('Fragen Komplett'!H51="Ja",3,0)</f>
        <v>3</v>
      </c>
      <c r="F51">
        <f>IF('KO Liste'!F51="Ja",2,IF('KO Liste'!G51="Ja",1,0))</f>
        <v>1</v>
      </c>
      <c r="G51">
        <f>_xlfn.XLOOKUP(B51,'Block Gewichte'!$A:$A,'Block Gewichte'!$B:$B,1)</f>
        <v>1</v>
      </c>
      <c r="H51" s="9">
        <f t="shared" si="1"/>
        <v>1.25</v>
      </c>
      <c r="J51" s="7">
        <f t="shared" si="0"/>
        <v>1</v>
      </c>
      <c r="K51" s="8">
        <f t="shared" si="2"/>
        <v>3.75</v>
      </c>
      <c r="L51" s="8">
        <f t="shared" si="3"/>
        <v>3.75</v>
      </c>
    </row>
    <row r="52" spans="1:12" x14ac:dyDescent="0.25">
      <c r="A52" t="str">
        <f>'Fragen Komplett'!A52</f>
        <v>F-BP-064</v>
      </c>
      <c r="B52" t="str">
        <f>'Fragen Komplett'!B52</f>
        <v>E</v>
      </c>
      <c r="C52">
        <f>IF('Fragen Komplett'!F52="Ja",3,0)</f>
        <v>3</v>
      </c>
      <c r="D52">
        <f>IF('Fragen Komplett'!G52="Ja",3,0)</f>
        <v>0</v>
      </c>
      <c r="E52">
        <f>IF('Fragen Komplett'!H52="Ja",3,0)</f>
        <v>0</v>
      </c>
      <c r="F52">
        <f>IF('KO Liste'!F52="Ja",2,IF('KO Liste'!G52="Ja",1,0))</f>
        <v>1</v>
      </c>
      <c r="G52">
        <f>_xlfn.XLOOKUP(B52,'Block Gewichte'!$A:$A,'Block Gewichte'!$B:$B,1)</f>
        <v>1</v>
      </c>
      <c r="H52" s="9">
        <f t="shared" si="1"/>
        <v>1.25</v>
      </c>
      <c r="J52" s="7">
        <f t="shared" si="0"/>
        <v>1</v>
      </c>
      <c r="K52" s="8">
        <f t="shared" si="2"/>
        <v>3.75</v>
      </c>
      <c r="L52" s="8">
        <f t="shared" si="3"/>
        <v>3.75</v>
      </c>
    </row>
    <row r="53" spans="1:12" x14ac:dyDescent="0.25">
      <c r="A53" t="str">
        <f>'Fragen Komplett'!A53</f>
        <v>F-BP-068</v>
      </c>
      <c r="B53" t="str">
        <f>'Fragen Komplett'!B53</f>
        <v>F</v>
      </c>
      <c r="C53">
        <f>IF('Fragen Komplett'!F53="Ja",3,0)</f>
        <v>3</v>
      </c>
      <c r="D53">
        <f>IF('Fragen Komplett'!G53="Ja",3,0)</f>
        <v>0</v>
      </c>
      <c r="E53">
        <f>IF('Fragen Komplett'!H53="Ja",3,0)</f>
        <v>0</v>
      </c>
      <c r="F53">
        <f>IF('KO Liste'!F53="Ja",2,IF('KO Liste'!G53="Ja",1,0))</f>
        <v>1</v>
      </c>
      <c r="G53">
        <f>_xlfn.XLOOKUP(B53,'Block Gewichte'!$A:$A,'Block Gewichte'!$B:$B,1)</f>
        <v>1.2</v>
      </c>
      <c r="H53" s="9">
        <f t="shared" si="1"/>
        <v>1.5</v>
      </c>
      <c r="J53" s="7">
        <f t="shared" si="0"/>
        <v>1</v>
      </c>
      <c r="K53" s="8">
        <f t="shared" si="2"/>
        <v>4.5</v>
      </c>
      <c r="L53" s="8">
        <f t="shared" si="3"/>
        <v>4.5</v>
      </c>
    </row>
    <row r="54" spans="1:12" x14ac:dyDescent="0.25">
      <c r="A54" t="str">
        <f>'Fragen Komplett'!A54</f>
        <v>F-BP-069</v>
      </c>
      <c r="B54" t="str">
        <f>'Fragen Komplett'!B54</f>
        <v>F</v>
      </c>
      <c r="C54">
        <f>IF('Fragen Komplett'!F54="Ja",3,0)</f>
        <v>3</v>
      </c>
      <c r="D54">
        <f>IF('Fragen Komplett'!G54="Ja",3,0)</f>
        <v>0</v>
      </c>
      <c r="E54">
        <f>IF('Fragen Komplett'!H54="Ja",3,0)</f>
        <v>3</v>
      </c>
      <c r="F54">
        <f>IF('KO Liste'!F54="Ja",2,IF('KO Liste'!G54="Ja",1,0))</f>
        <v>1</v>
      </c>
      <c r="G54">
        <f>_xlfn.XLOOKUP(B54,'Block Gewichte'!$A:$A,'Block Gewichte'!$B:$B,1)</f>
        <v>1.2</v>
      </c>
      <c r="H54" s="9">
        <f t="shared" si="1"/>
        <v>3</v>
      </c>
      <c r="J54" s="7">
        <f t="shared" si="0"/>
        <v>1</v>
      </c>
      <c r="K54" s="8">
        <f t="shared" si="2"/>
        <v>18</v>
      </c>
      <c r="L54" s="8">
        <f t="shared" si="3"/>
        <v>18</v>
      </c>
    </row>
    <row r="55" spans="1:12" x14ac:dyDescent="0.25">
      <c r="A55" t="str">
        <f>'Fragen Komplett'!A55</f>
        <v>F-BP-070</v>
      </c>
      <c r="B55" t="str">
        <f>'Fragen Komplett'!B55</f>
        <v>F</v>
      </c>
      <c r="C55">
        <f>IF('Fragen Komplett'!F55="Ja",3,0)</f>
        <v>3</v>
      </c>
      <c r="D55">
        <f>IF('Fragen Komplett'!G55="Ja",3,0)</f>
        <v>3</v>
      </c>
      <c r="E55">
        <f>IF('Fragen Komplett'!H55="Ja",3,0)</f>
        <v>3</v>
      </c>
      <c r="F55">
        <f>IF('KO Liste'!F55="Ja",2,IF('KO Liste'!G55="Ja",1,0))</f>
        <v>2</v>
      </c>
      <c r="G55">
        <f>_xlfn.XLOOKUP(B55,'Block Gewichte'!$A:$A,'Block Gewichte'!$B:$B,1)</f>
        <v>1.2</v>
      </c>
      <c r="H55" s="9">
        <f t="shared" si="1"/>
        <v>6.2999999999999989</v>
      </c>
      <c r="J55" s="7">
        <f t="shared" si="0"/>
        <v>1</v>
      </c>
      <c r="K55" s="8">
        <f t="shared" si="2"/>
        <v>56.699999999999989</v>
      </c>
      <c r="L55" s="8">
        <f t="shared" si="3"/>
        <v>113.39999999999998</v>
      </c>
    </row>
    <row r="56" spans="1:12" x14ac:dyDescent="0.25">
      <c r="A56" t="str">
        <f>'Fragen Komplett'!A56</f>
        <v>F-BP-071</v>
      </c>
      <c r="B56" t="str">
        <f>'Fragen Komplett'!B56</f>
        <v>F</v>
      </c>
      <c r="C56">
        <f>IF('Fragen Komplett'!F56="Ja",3,0)</f>
        <v>3</v>
      </c>
      <c r="D56">
        <f>IF('Fragen Komplett'!G56="Ja",3,0)</f>
        <v>0</v>
      </c>
      <c r="E56">
        <f>IF('Fragen Komplett'!H56="Ja",3,0)</f>
        <v>0</v>
      </c>
      <c r="F56">
        <f>IF('KO Liste'!F56="Ja",2,IF('KO Liste'!G56="Ja",1,0))</f>
        <v>1</v>
      </c>
      <c r="G56">
        <f>_xlfn.XLOOKUP(B56,'Block Gewichte'!$A:$A,'Block Gewichte'!$B:$B,1)</f>
        <v>1.2</v>
      </c>
      <c r="H56" s="9">
        <f t="shared" si="1"/>
        <v>1.5</v>
      </c>
      <c r="J56" s="7">
        <f t="shared" si="0"/>
        <v>1</v>
      </c>
      <c r="K56" s="8">
        <f t="shared" si="2"/>
        <v>4.5</v>
      </c>
      <c r="L56" s="8">
        <f t="shared" si="3"/>
        <v>4.5</v>
      </c>
    </row>
    <row r="57" spans="1:12" x14ac:dyDescent="0.25">
      <c r="A57" t="str">
        <f>'Fragen Komplett'!A57</f>
        <v>F-BP-073</v>
      </c>
      <c r="B57" t="str">
        <f>'Fragen Komplett'!B57</f>
        <v>F</v>
      </c>
      <c r="C57">
        <f>IF('Fragen Komplett'!F57="Ja",3,0)</f>
        <v>3</v>
      </c>
      <c r="D57">
        <f>IF('Fragen Komplett'!G57="Ja",3,0)</f>
        <v>0</v>
      </c>
      <c r="E57">
        <f>IF('Fragen Komplett'!H57="Ja",3,0)</f>
        <v>3</v>
      </c>
      <c r="F57">
        <f>IF('KO Liste'!F57="Ja",2,IF('KO Liste'!G57="Ja",1,0))</f>
        <v>1</v>
      </c>
      <c r="G57">
        <f>_xlfn.XLOOKUP(B57,'Block Gewichte'!$A:$A,'Block Gewichte'!$B:$B,1)</f>
        <v>1.2</v>
      </c>
      <c r="H57" s="9">
        <f t="shared" si="1"/>
        <v>3</v>
      </c>
      <c r="J57" s="7">
        <f t="shared" si="0"/>
        <v>1</v>
      </c>
      <c r="K57" s="8">
        <f t="shared" si="2"/>
        <v>18</v>
      </c>
      <c r="L57" s="8">
        <f t="shared" si="3"/>
        <v>18</v>
      </c>
    </row>
    <row r="58" spans="1:12" x14ac:dyDescent="0.25">
      <c r="A58" t="str">
        <f>'Fragen Komplett'!A58</f>
        <v>F-BP-074</v>
      </c>
      <c r="B58" t="str">
        <f>'Fragen Komplett'!B58</f>
        <v>G</v>
      </c>
      <c r="C58">
        <f>IF('Fragen Komplett'!F58="Ja",3,0)</f>
        <v>0</v>
      </c>
      <c r="D58">
        <f>IF('Fragen Komplett'!G58="Ja",3,0)</f>
        <v>0</v>
      </c>
      <c r="E58">
        <f>IF('Fragen Komplett'!H58="Ja",3,0)</f>
        <v>3</v>
      </c>
      <c r="F58">
        <f>IF('KO Liste'!F58="Ja",2,IF('KO Liste'!G58="Ja",1,0))</f>
        <v>1</v>
      </c>
      <c r="G58">
        <f>_xlfn.XLOOKUP(B58,'Block Gewichte'!$A:$A,'Block Gewichte'!$B:$B,1)</f>
        <v>1.1000000000000001</v>
      </c>
      <c r="H58" s="9">
        <f t="shared" si="1"/>
        <v>1.375</v>
      </c>
      <c r="J58" s="7">
        <f t="shared" si="0"/>
        <v>1</v>
      </c>
      <c r="K58" s="8">
        <f t="shared" si="2"/>
        <v>4.125</v>
      </c>
      <c r="L58" s="8">
        <f t="shared" si="3"/>
        <v>4.125</v>
      </c>
    </row>
    <row r="59" spans="1:12" x14ac:dyDescent="0.25">
      <c r="A59" t="str">
        <f>'Fragen Komplett'!A59</f>
        <v>F-BP-075</v>
      </c>
      <c r="B59" t="str">
        <f>'Fragen Komplett'!B59</f>
        <v>G</v>
      </c>
      <c r="C59">
        <f>IF('Fragen Komplett'!F59="Ja",3,0)</f>
        <v>3</v>
      </c>
      <c r="D59">
        <f>IF('Fragen Komplett'!G59="Ja",3,0)</f>
        <v>0</v>
      </c>
      <c r="E59">
        <f>IF('Fragen Komplett'!H59="Ja",3,0)</f>
        <v>3</v>
      </c>
      <c r="F59">
        <f>IF('KO Liste'!F59="Ja",2,IF('KO Liste'!G59="Ja",1,0))</f>
        <v>1</v>
      </c>
      <c r="G59">
        <f>_xlfn.XLOOKUP(B59,'Block Gewichte'!$A:$A,'Block Gewichte'!$B:$B,1)</f>
        <v>1.1000000000000001</v>
      </c>
      <c r="H59" s="9">
        <f t="shared" si="1"/>
        <v>2.75</v>
      </c>
      <c r="J59" s="7">
        <f t="shared" si="0"/>
        <v>1</v>
      </c>
      <c r="K59" s="8">
        <f t="shared" si="2"/>
        <v>16.5</v>
      </c>
      <c r="L59" s="8">
        <f t="shared" si="3"/>
        <v>16.5</v>
      </c>
    </row>
    <row r="60" spans="1:12" x14ac:dyDescent="0.25">
      <c r="A60" t="str">
        <f>'Fragen Komplett'!A60</f>
        <v>F-BP-076</v>
      </c>
      <c r="B60" t="str">
        <f>'Fragen Komplett'!B60</f>
        <v>G</v>
      </c>
      <c r="C60">
        <f>IF('Fragen Komplett'!F60="Ja",3,0)</f>
        <v>3</v>
      </c>
      <c r="D60">
        <f>IF('Fragen Komplett'!G60="Ja",3,0)</f>
        <v>0</v>
      </c>
      <c r="E60">
        <f>IF('Fragen Komplett'!H60="Ja",3,0)</f>
        <v>3</v>
      </c>
      <c r="F60">
        <f>IF('KO Liste'!F60="Ja",2,IF('KO Liste'!G60="Ja",1,0))</f>
        <v>1</v>
      </c>
      <c r="G60">
        <f>_xlfn.XLOOKUP(B60,'Block Gewichte'!$A:$A,'Block Gewichte'!$B:$B,1)</f>
        <v>1.1000000000000001</v>
      </c>
      <c r="H60" s="9">
        <f t="shared" si="1"/>
        <v>2.75</v>
      </c>
      <c r="J60" s="7">
        <f t="shared" si="0"/>
        <v>1</v>
      </c>
      <c r="K60" s="8">
        <f t="shared" si="2"/>
        <v>16.5</v>
      </c>
      <c r="L60" s="8">
        <f t="shared" si="3"/>
        <v>16.5</v>
      </c>
    </row>
    <row r="61" spans="1:12" x14ac:dyDescent="0.25">
      <c r="A61" t="str">
        <f>'Fragen Komplett'!A61</f>
        <v>F-BP-077</v>
      </c>
      <c r="B61" t="str">
        <f>'Fragen Komplett'!B61</f>
        <v>G</v>
      </c>
      <c r="C61">
        <f>IF('Fragen Komplett'!F61="Ja",3,0)</f>
        <v>0</v>
      </c>
      <c r="D61">
        <f>IF('Fragen Komplett'!G61="Ja",3,0)</f>
        <v>0</v>
      </c>
      <c r="E61">
        <f>IF('Fragen Komplett'!H61="Ja",3,0)</f>
        <v>0</v>
      </c>
      <c r="F61">
        <f>IF('KO Liste'!F61="Ja",2,IF('KO Liste'!G61="Ja",1,0))</f>
        <v>1</v>
      </c>
      <c r="G61">
        <f>_xlfn.XLOOKUP(B61,'Block Gewichte'!$A:$A,'Block Gewichte'!$B:$B,1)</f>
        <v>1.1000000000000001</v>
      </c>
      <c r="H61" s="9">
        <f t="shared" si="1"/>
        <v>0</v>
      </c>
      <c r="J61" s="7">
        <f t="shared" si="0"/>
        <v>1</v>
      </c>
      <c r="K61" s="8">
        <f t="shared" si="2"/>
        <v>0</v>
      </c>
      <c r="L61" s="8">
        <f t="shared" si="3"/>
        <v>0</v>
      </c>
    </row>
    <row r="62" spans="1:12" x14ac:dyDescent="0.25">
      <c r="A62" t="str">
        <f>'Fragen Komplett'!A62</f>
        <v>F-BP-078</v>
      </c>
      <c r="B62" t="str">
        <f>'Fragen Komplett'!B62</f>
        <v>G</v>
      </c>
      <c r="C62">
        <f>IF('Fragen Komplett'!F62="Ja",3,0)</f>
        <v>3</v>
      </c>
      <c r="D62">
        <f>IF('Fragen Komplett'!G62="Ja",3,0)</f>
        <v>0</v>
      </c>
      <c r="E62">
        <f>IF('Fragen Komplett'!H62="Ja",3,0)</f>
        <v>3</v>
      </c>
      <c r="F62">
        <f>IF('KO Liste'!F62="Ja",2,IF('KO Liste'!G62="Ja",1,0))</f>
        <v>1</v>
      </c>
      <c r="G62">
        <f>_xlfn.XLOOKUP(B62,'Block Gewichte'!$A:$A,'Block Gewichte'!$B:$B,1)</f>
        <v>1.1000000000000001</v>
      </c>
      <c r="H62" s="9">
        <f t="shared" si="1"/>
        <v>2.75</v>
      </c>
      <c r="J62" s="7">
        <f t="shared" si="0"/>
        <v>1</v>
      </c>
      <c r="K62" s="8">
        <f t="shared" si="2"/>
        <v>16.5</v>
      </c>
      <c r="L62" s="8">
        <f t="shared" si="3"/>
        <v>16.5</v>
      </c>
    </row>
    <row r="63" spans="1:12" x14ac:dyDescent="0.25">
      <c r="A63" t="str">
        <f>'Fragen Komplett'!A63</f>
        <v>F-BP-080</v>
      </c>
      <c r="B63" t="str">
        <f>'Fragen Komplett'!B63</f>
        <v>H</v>
      </c>
      <c r="C63">
        <f>IF('Fragen Komplett'!F63="Ja",3,0)</f>
        <v>0</v>
      </c>
      <c r="D63">
        <f>IF('Fragen Komplett'!G63="Ja",3,0)</f>
        <v>0</v>
      </c>
      <c r="E63">
        <f>IF('Fragen Komplett'!H63="Ja",3,0)</f>
        <v>0</v>
      </c>
      <c r="F63">
        <f>IF('KO Liste'!F63="Ja",2,IF('KO Liste'!G63="Ja",1,0))</f>
        <v>1</v>
      </c>
      <c r="G63">
        <f>_xlfn.XLOOKUP(B63,'Block Gewichte'!$A:$A,'Block Gewichte'!$B:$B,1)</f>
        <v>1</v>
      </c>
      <c r="H63" s="9">
        <f t="shared" si="1"/>
        <v>0</v>
      </c>
      <c r="J63" s="7">
        <f t="shared" si="0"/>
        <v>1</v>
      </c>
      <c r="K63" s="8">
        <f t="shared" si="2"/>
        <v>0</v>
      </c>
      <c r="L63" s="8">
        <f t="shared" si="3"/>
        <v>0</v>
      </c>
    </row>
    <row r="64" spans="1:12" x14ac:dyDescent="0.25">
      <c r="A64" t="str">
        <f>'Fragen Komplett'!A64</f>
        <v>F-BP-081</v>
      </c>
      <c r="B64" t="str">
        <f>'Fragen Komplett'!B64</f>
        <v>H</v>
      </c>
      <c r="C64">
        <f>IF('Fragen Komplett'!F64="Ja",3,0)</f>
        <v>3</v>
      </c>
      <c r="D64">
        <f>IF('Fragen Komplett'!G64="Ja",3,0)</f>
        <v>0</v>
      </c>
      <c r="E64">
        <f>IF('Fragen Komplett'!H64="Ja",3,0)</f>
        <v>3</v>
      </c>
      <c r="F64">
        <f>IF('KO Liste'!F64="Ja",2,IF('KO Liste'!G64="Ja",1,0))</f>
        <v>1</v>
      </c>
      <c r="G64">
        <f>_xlfn.XLOOKUP(B64,'Block Gewichte'!$A:$A,'Block Gewichte'!$B:$B,1)</f>
        <v>1</v>
      </c>
      <c r="H64" s="9">
        <f t="shared" si="1"/>
        <v>2.5</v>
      </c>
      <c r="J64" s="7">
        <f t="shared" si="0"/>
        <v>1</v>
      </c>
      <c r="K64" s="8">
        <f t="shared" si="2"/>
        <v>15</v>
      </c>
      <c r="L64" s="8">
        <f t="shared" si="3"/>
        <v>15</v>
      </c>
    </row>
    <row r="65" spans="1:12" x14ac:dyDescent="0.25">
      <c r="A65" t="str">
        <f>'Fragen Komplett'!A65</f>
        <v>F-BP-082</v>
      </c>
      <c r="B65" t="str">
        <f>'Fragen Komplett'!B65</f>
        <v>H</v>
      </c>
      <c r="C65">
        <f>IF('Fragen Komplett'!F65="Ja",3,0)</f>
        <v>3</v>
      </c>
      <c r="D65">
        <f>IF('Fragen Komplett'!G65="Ja",3,0)</f>
        <v>0</v>
      </c>
      <c r="E65">
        <f>IF('Fragen Komplett'!H65="Ja",3,0)</f>
        <v>0</v>
      </c>
      <c r="F65">
        <f>IF('KO Liste'!F65="Ja",2,IF('KO Liste'!G65="Ja",1,0))</f>
        <v>1</v>
      </c>
      <c r="G65">
        <f>_xlfn.XLOOKUP(B65,'Block Gewichte'!$A:$A,'Block Gewichte'!$B:$B,1)</f>
        <v>1</v>
      </c>
      <c r="H65" s="9">
        <f t="shared" si="1"/>
        <v>1.25</v>
      </c>
      <c r="J65" s="7">
        <f t="shared" si="0"/>
        <v>1</v>
      </c>
      <c r="K65" s="8">
        <f t="shared" si="2"/>
        <v>3.75</v>
      </c>
      <c r="L65" s="8">
        <f t="shared" si="3"/>
        <v>3.75</v>
      </c>
    </row>
    <row r="66" spans="1:12" x14ac:dyDescent="0.25">
      <c r="A66" t="str">
        <f>'Fragen Komplett'!A66</f>
        <v>F-BP-083</v>
      </c>
      <c r="B66" t="str">
        <f>'Fragen Komplett'!B66</f>
        <v>H</v>
      </c>
      <c r="C66">
        <f>IF('Fragen Komplett'!F66="Ja",3,0)</f>
        <v>0</v>
      </c>
      <c r="D66">
        <f>IF('Fragen Komplett'!G66="Ja",3,0)</f>
        <v>0</v>
      </c>
      <c r="E66">
        <f>IF('Fragen Komplett'!H66="Ja",3,0)</f>
        <v>0</v>
      </c>
      <c r="F66">
        <f>IF('KO Liste'!F66="Ja",2,IF('KO Liste'!G66="Ja",1,0))</f>
        <v>1</v>
      </c>
      <c r="G66">
        <f>_xlfn.XLOOKUP(B66,'Block Gewichte'!$A:$A,'Block Gewichte'!$B:$B,1)</f>
        <v>1</v>
      </c>
      <c r="H66" s="9">
        <f t="shared" si="1"/>
        <v>0</v>
      </c>
      <c r="J66" s="7">
        <f t="shared" si="0"/>
        <v>1</v>
      </c>
      <c r="K66" s="8">
        <f t="shared" si="2"/>
        <v>0</v>
      </c>
      <c r="L66" s="8">
        <f t="shared" si="3"/>
        <v>0</v>
      </c>
    </row>
    <row r="67" spans="1:12" x14ac:dyDescent="0.25">
      <c r="A67" t="str">
        <f>'Fragen Komplett'!A67</f>
        <v>F-BP-084</v>
      </c>
      <c r="B67" t="str">
        <f>'Fragen Komplett'!B67</f>
        <v>H</v>
      </c>
      <c r="C67">
        <f>IF('Fragen Komplett'!F67="Ja",3,0)</f>
        <v>3</v>
      </c>
      <c r="D67">
        <f>IF('Fragen Komplett'!G67="Ja",3,0)</f>
        <v>3</v>
      </c>
      <c r="E67">
        <f>IF('Fragen Komplett'!H67="Ja",3,0)</f>
        <v>3</v>
      </c>
      <c r="F67">
        <f>IF('KO Liste'!F67="Ja",2,IF('KO Liste'!G67="Ja",1,0))</f>
        <v>2</v>
      </c>
      <c r="G67">
        <f>_xlfn.XLOOKUP(B67,'Block Gewichte'!$A:$A,'Block Gewichte'!$B:$B,1)</f>
        <v>1</v>
      </c>
      <c r="H67" s="9">
        <f t="shared" si="1"/>
        <v>5.25</v>
      </c>
      <c r="J67" s="7">
        <f t="shared" ref="J67:J74" si="4">(4-I67)/4</f>
        <v>1</v>
      </c>
      <c r="K67" s="8">
        <f t="shared" si="2"/>
        <v>47.25</v>
      </c>
      <c r="L67" s="8">
        <f t="shared" si="3"/>
        <v>94.5</v>
      </c>
    </row>
    <row r="68" spans="1:12" x14ac:dyDescent="0.25">
      <c r="A68" t="str">
        <f>'Fragen Komplett'!A68</f>
        <v>F-BP-085</v>
      </c>
      <c r="B68" t="str">
        <f>'Fragen Komplett'!B68</f>
        <v>H</v>
      </c>
      <c r="C68">
        <f>IF('Fragen Komplett'!F68="Ja",3,0)</f>
        <v>0</v>
      </c>
      <c r="D68">
        <f>IF('Fragen Komplett'!G68="Ja",3,0)</f>
        <v>0</v>
      </c>
      <c r="E68">
        <f>IF('Fragen Komplett'!H68="Ja",3,0)</f>
        <v>3</v>
      </c>
      <c r="F68">
        <f>IF('KO Liste'!F68="Ja",2,IF('KO Liste'!G68="Ja",1,0))</f>
        <v>1</v>
      </c>
      <c r="G68">
        <f>_xlfn.XLOOKUP(B68,'Block Gewichte'!$A:$A,'Block Gewichte'!$B:$B,1)</f>
        <v>1</v>
      </c>
      <c r="H68" s="9">
        <f t="shared" si="1"/>
        <v>1.25</v>
      </c>
      <c r="J68" s="7">
        <f t="shared" si="4"/>
        <v>1</v>
      </c>
      <c r="K68" s="8">
        <f t="shared" si="2"/>
        <v>3.75</v>
      </c>
      <c r="L68" s="8">
        <f t="shared" si="3"/>
        <v>3.75</v>
      </c>
    </row>
    <row r="69" spans="1:12" x14ac:dyDescent="0.25">
      <c r="A69" t="str">
        <f>'Fragen Komplett'!A69</f>
        <v>F-BP-086</v>
      </c>
      <c r="B69" t="str">
        <f>'Fragen Komplett'!B69</f>
        <v>I</v>
      </c>
      <c r="C69">
        <f>IF('Fragen Komplett'!F69="Ja",3,0)</f>
        <v>0</v>
      </c>
      <c r="D69">
        <f>IF('Fragen Komplett'!G69="Ja",3,0)</f>
        <v>3</v>
      </c>
      <c r="E69">
        <f>IF('Fragen Komplett'!H69="Ja",3,0)</f>
        <v>0</v>
      </c>
      <c r="F69">
        <f>IF('KO Liste'!F69="Ja",2,IF('KO Liste'!G69="Ja",1,0))</f>
        <v>2</v>
      </c>
      <c r="G69">
        <f>_xlfn.XLOOKUP(B69,'Block Gewichte'!$A:$A,'Block Gewichte'!$B:$B,1)</f>
        <v>1.4</v>
      </c>
      <c r="H69" s="9">
        <f t="shared" si="1"/>
        <v>2.4499999999999997</v>
      </c>
      <c r="J69" s="7">
        <f t="shared" si="4"/>
        <v>1</v>
      </c>
      <c r="K69" s="8">
        <f t="shared" si="2"/>
        <v>7.35</v>
      </c>
      <c r="L69" s="8">
        <f t="shared" si="3"/>
        <v>14.7</v>
      </c>
    </row>
    <row r="70" spans="1:12" x14ac:dyDescent="0.25">
      <c r="A70" t="str">
        <f>'Fragen Komplett'!A70</f>
        <v>F-BP-087</v>
      </c>
      <c r="B70" t="str">
        <f>'Fragen Komplett'!B70</f>
        <v>I</v>
      </c>
      <c r="C70">
        <f>IF('Fragen Komplett'!F70="Ja",3,0)</f>
        <v>3</v>
      </c>
      <c r="D70">
        <f>IF('Fragen Komplett'!G70="Ja",3,0)</f>
        <v>3</v>
      </c>
      <c r="E70">
        <f>IF('Fragen Komplett'!H70="Ja",3,0)</f>
        <v>0</v>
      </c>
      <c r="F70">
        <f>IF('KO Liste'!F70="Ja",2,IF('KO Liste'!G70="Ja",1,0))</f>
        <v>2</v>
      </c>
      <c r="G70">
        <f>_xlfn.XLOOKUP(B70,'Block Gewichte'!$A:$A,'Block Gewichte'!$B:$B,1)</f>
        <v>1.4</v>
      </c>
      <c r="H70" s="9">
        <f t="shared" si="1"/>
        <v>4.8999999999999995</v>
      </c>
      <c r="J70" s="7">
        <f t="shared" si="4"/>
        <v>1</v>
      </c>
      <c r="K70" s="8">
        <f t="shared" si="2"/>
        <v>29.4</v>
      </c>
      <c r="L70" s="8">
        <f t="shared" si="3"/>
        <v>58.8</v>
      </c>
    </row>
    <row r="71" spans="1:12" x14ac:dyDescent="0.25">
      <c r="A71" t="str">
        <f>'Fragen Komplett'!A71</f>
        <v>F-BP-088</v>
      </c>
      <c r="B71" t="str">
        <f>'Fragen Komplett'!B71</f>
        <v>I</v>
      </c>
      <c r="C71">
        <f>IF('Fragen Komplett'!F71="Ja",3,0)</f>
        <v>3</v>
      </c>
      <c r="D71">
        <f>IF('Fragen Komplett'!G71="Ja",3,0)</f>
        <v>3</v>
      </c>
      <c r="E71">
        <f>IF('Fragen Komplett'!H71="Ja",3,0)</f>
        <v>0</v>
      </c>
      <c r="F71">
        <f>IF('KO Liste'!F71="Ja",2,IF('KO Liste'!G71="Ja",1,0))</f>
        <v>2</v>
      </c>
      <c r="G71">
        <f>_xlfn.XLOOKUP(B71,'Block Gewichte'!$A:$A,'Block Gewichte'!$B:$B,1)</f>
        <v>1.4</v>
      </c>
      <c r="H71" s="9">
        <f t="shared" si="1"/>
        <v>4.8999999999999995</v>
      </c>
      <c r="J71" s="7">
        <f t="shared" si="4"/>
        <v>1</v>
      </c>
      <c r="K71" s="8">
        <f t="shared" si="2"/>
        <v>29.4</v>
      </c>
      <c r="L71" s="8">
        <f t="shared" si="3"/>
        <v>58.8</v>
      </c>
    </row>
    <row r="72" spans="1:12" x14ac:dyDescent="0.25">
      <c r="A72" t="str">
        <f>'Fragen Komplett'!A72</f>
        <v>F-BP-089</v>
      </c>
      <c r="B72" t="str">
        <f>'Fragen Komplett'!B72</f>
        <v>I</v>
      </c>
      <c r="C72">
        <f>IF('Fragen Komplett'!F72="Ja",3,0)</f>
        <v>0</v>
      </c>
      <c r="D72">
        <f>IF('Fragen Komplett'!G72="Ja",3,0)</f>
        <v>0</v>
      </c>
      <c r="E72">
        <f>IF('Fragen Komplett'!H72="Ja",3,0)</f>
        <v>3</v>
      </c>
      <c r="F72">
        <f>IF('KO Liste'!F72="Ja",2,IF('KO Liste'!G72="Ja",1,0))</f>
        <v>1</v>
      </c>
      <c r="G72">
        <f>_xlfn.XLOOKUP(B72,'Block Gewichte'!$A:$A,'Block Gewichte'!$B:$B,1)</f>
        <v>1.4</v>
      </c>
      <c r="H72" s="9">
        <f t="shared" si="1"/>
        <v>1.75</v>
      </c>
      <c r="J72" s="7">
        <f t="shared" si="4"/>
        <v>1</v>
      </c>
      <c r="K72" s="8">
        <f t="shared" si="2"/>
        <v>5.25</v>
      </c>
      <c r="L72" s="8">
        <f t="shared" si="3"/>
        <v>5.25</v>
      </c>
    </row>
    <row r="73" spans="1:12" x14ac:dyDescent="0.25">
      <c r="A73" t="str">
        <f>'Fragen Komplett'!A73</f>
        <v>F-BP-090</v>
      </c>
      <c r="B73" t="str">
        <f>'Fragen Komplett'!B73</f>
        <v>I</v>
      </c>
      <c r="C73">
        <f>IF('Fragen Komplett'!F73="Ja",3,0)</f>
        <v>0</v>
      </c>
      <c r="D73">
        <f>IF('Fragen Komplett'!G73="Ja",3,0)</f>
        <v>0</v>
      </c>
      <c r="E73">
        <f>IF('Fragen Komplett'!H73="Ja",3,0)</f>
        <v>3</v>
      </c>
      <c r="F73">
        <f>IF('KO Liste'!F73="Ja",2,IF('KO Liste'!G73="Ja",1,0))</f>
        <v>1</v>
      </c>
      <c r="G73">
        <f>_xlfn.XLOOKUP(B73,'Block Gewichte'!$A:$A,'Block Gewichte'!$B:$B,1)</f>
        <v>1.4</v>
      </c>
      <c r="H73" s="9">
        <f t="shared" si="1"/>
        <v>1.75</v>
      </c>
      <c r="J73" s="7">
        <f t="shared" si="4"/>
        <v>1</v>
      </c>
      <c r="K73" s="8">
        <f t="shared" si="2"/>
        <v>5.25</v>
      </c>
      <c r="L73" s="8">
        <f t="shared" si="3"/>
        <v>5.25</v>
      </c>
    </row>
    <row r="74" spans="1:12" x14ac:dyDescent="0.25">
      <c r="A74" t="str">
        <f>'Fragen Komplett'!A74</f>
        <v>F-BP-091</v>
      </c>
      <c r="B74" t="str">
        <f>'Fragen Komplett'!B74</f>
        <v>I</v>
      </c>
      <c r="C74">
        <f>IF('Fragen Komplett'!F74="Ja",3,0)</f>
        <v>0</v>
      </c>
      <c r="D74">
        <f>IF('Fragen Komplett'!G74="Ja",3,0)</f>
        <v>0</v>
      </c>
      <c r="E74">
        <f>IF('Fragen Komplett'!H74="Ja",3,0)</f>
        <v>0</v>
      </c>
      <c r="F74">
        <f>IF('KO Liste'!F74="Ja",2,IF('KO Liste'!G74="Ja",1,0))</f>
        <v>1</v>
      </c>
      <c r="G74">
        <f>_xlfn.XLOOKUP(B74,'Block Gewichte'!$A:$A,'Block Gewichte'!$B:$B,1)</f>
        <v>1.4</v>
      </c>
      <c r="H74" s="9">
        <f t="shared" si="1"/>
        <v>0</v>
      </c>
      <c r="J74" s="7">
        <f t="shared" si="4"/>
        <v>1</v>
      </c>
      <c r="K74" s="8">
        <f t="shared" si="2"/>
        <v>0</v>
      </c>
      <c r="L74" s="8">
        <f t="shared" si="3"/>
        <v>0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70058A-313C-460C-B546-4182A0EAEE0A}">
          <x14:formula1>
            <xm:f>'Block Gewichte'!$E$2:$E$6</xm:f>
          </x14:formula1>
          <xm:sqref>I2:I74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BAE0-71A8-4CB8-B0E9-377D0E40F907}">
  <dimension ref="A1"/>
  <sheetViews>
    <sheetView workbookViewId="0">
      <selection activeCell="I32" sqref="I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Fragen Komplett</vt:lpstr>
      <vt:lpstr>KO Liste</vt:lpstr>
      <vt:lpstr>Block Gewichte</vt:lpstr>
      <vt:lpstr>Scoring</vt:lpstr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Bellaerts</cp:lastModifiedBy>
  <dcterms:created xsi:type="dcterms:W3CDTF">2026-02-14T09:25:15Z</dcterms:created>
  <dcterms:modified xsi:type="dcterms:W3CDTF">2026-02-17T10:48:54Z</dcterms:modified>
</cp:coreProperties>
</file>